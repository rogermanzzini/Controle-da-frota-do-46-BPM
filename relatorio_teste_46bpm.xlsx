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7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0" customWidth="1" min="2" max="2"/>
    <col width="21" customWidth="1" min="3" max="3"/>
    <col width="31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23/09/2026 15:38</t>
        </is>
      </c>
    </row>
    <row r="3"/>
    <row r="4">
      <c r="B4" s="3" t="inlineStr">
        <is>
          <t>Viaturas Monitoradas
8 vtrs</t>
        </is>
      </c>
      <c r="E4" s="3" t="inlineStr">
        <is>
          <t>Km Total Rodado
35,305.0 km</t>
        </is>
      </c>
      <c r="H4" s="3" t="inlineStr">
        <is>
          <t>Litros Abastecidos
4,206.66 L</t>
        </is>
      </c>
      <c r="K4" s="3" t="inlineStr">
        <is>
          <t>Consumo Médio Geral
9.18 km/l</t>
        </is>
      </c>
      <c r="N4" s="3" t="inlineStr">
        <is>
          <t>Gasto Total (R$)
R$ 26,032.46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BM-12450</t>
        </is>
      </c>
      <c r="B9" s="5" t="inlineStr">
        <is>
          <t>IXO8A12</t>
        </is>
      </c>
      <c r="C9" s="6" t="inlineStr">
        <is>
          <t>Renault Duster 1.6</t>
        </is>
      </c>
      <c r="D9" s="5" t="inlineStr">
        <is>
          <t>1ª Companhia - Bagé</t>
        </is>
      </c>
      <c r="E9" s="7" t="n">
        <v>12</v>
      </c>
      <c r="F9" s="8" t="n">
        <v>42500</v>
      </c>
      <c r="G9" s="8" t="n">
        <v>46420</v>
      </c>
      <c r="H9" s="8" t="n">
        <v>3920</v>
      </c>
      <c r="I9" s="9" t="n">
        <v>489.78</v>
      </c>
      <c r="J9" s="9" t="n">
        <v>8.67</v>
      </c>
      <c r="K9" s="10" t="n">
        <v>3038.89</v>
      </c>
      <c r="L9" s="10" t="n">
        <v>0.78</v>
      </c>
      <c r="M9" s="7" t="n">
        <v>0</v>
      </c>
    </row>
    <row r="10">
      <c r="A10" s="11" t="inlineStr">
        <is>
          <t>BM-12451</t>
        </is>
      </c>
      <c r="B10" s="11" t="inlineStr">
        <is>
          <t>IXO8A15</t>
        </is>
      </c>
      <c r="C10" s="12" t="inlineStr">
        <is>
          <t>Renault Duster 1.6</t>
        </is>
      </c>
      <c r="D10" s="11" t="inlineStr">
        <is>
          <t>1ª Companhia - Bagé</t>
        </is>
      </c>
      <c r="E10" s="13" t="n">
        <v>13</v>
      </c>
      <c r="F10" s="14" t="n">
        <v>51650</v>
      </c>
      <c r="G10" s="14" t="n">
        <v>55952</v>
      </c>
      <c r="H10" s="14" t="n">
        <v>4302</v>
      </c>
      <c r="I10" s="15" t="n">
        <v>580.64</v>
      </c>
      <c r="J10" s="15" t="n">
        <v>8.130000000000001</v>
      </c>
      <c r="K10" s="16" t="n">
        <v>3615.45</v>
      </c>
      <c r="L10" s="16" t="n">
        <v>0.84</v>
      </c>
      <c r="M10" s="13" t="n">
        <v>0</v>
      </c>
    </row>
    <row r="11">
      <c r="A11" s="5" t="inlineStr">
        <is>
          <t>BM-13100</t>
        </is>
      </c>
      <c r="B11" s="5" t="inlineStr">
        <is>
          <t>JBG9A87</t>
        </is>
      </c>
      <c r="C11" s="6" t="inlineStr">
        <is>
          <t>Toyota Hilux 4x4</t>
        </is>
      </c>
      <c r="D11" s="5" t="inlineStr">
        <is>
          <t>Pelotão Força Tática</t>
        </is>
      </c>
      <c r="E11" s="7" t="n">
        <v>14</v>
      </c>
      <c r="F11" s="8" t="n">
        <v>68878</v>
      </c>
      <c r="G11" s="8" t="n">
        <v>74057</v>
      </c>
      <c r="H11" s="8" t="n">
        <v>5179</v>
      </c>
      <c r="I11" s="9" t="n">
        <v>596.75</v>
      </c>
      <c r="J11" s="9" t="n">
        <v>9.460000000000001</v>
      </c>
      <c r="K11" s="10" t="n">
        <v>3644.57</v>
      </c>
      <c r="L11" s="10" t="n">
        <v>0.7</v>
      </c>
      <c r="M11" s="7" t="n">
        <v>0</v>
      </c>
    </row>
    <row r="12">
      <c r="A12" s="11" t="inlineStr">
        <is>
          <t>BM-13105</t>
        </is>
      </c>
      <c r="B12" s="11" t="inlineStr">
        <is>
          <t>JBG9A90</t>
        </is>
      </c>
      <c r="C12" s="12" t="inlineStr">
        <is>
          <t>Toyota Hilux 4x4</t>
        </is>
      </c>
      <c r="D12" s="11" t="inlineStr">
        <is>
          <t>Patrulha Rural - Bagé</t>
        </is>
      </c>
      <c r="E12" s="13" t="n">
        <v>17</v>
      </c>
      <c r="F12" s="14" t="n">
        <v>79437</v>
      </c>
      <c r="G12" s="14" t="n">
        <v>85363</v>
      </c>
      <c r="H12" s="14" t="n">
        <v>5926</v>
      </c>
      <c r="I12" s="15" t="n">
        <v>685.15</v>
      </c>
      <c r="J12" s="15" t="n">
        <v>9.109999999999999</v>
      </c>
      <c r="K12" s="16" t="n">
        <v>4149.96</v>
      </c>
      <c r="L12" s="16" t="n">
        <v>0.7</v>
      </c>
      <c r="M12" s="13" t="n">
        <v>0</v>
      </c>
    </row>
    <row r="13">
      <c r="A13" s="5" t="inlineStr">
        <is>
          <t>BM-14200</t>
        </is>
      </c>
      <c r="B13" s="5" t="inlineStr">
        <is>
          <t>JCY4B11</t>
        </is>
      </c>
      <c r="C13" s="6" t="inlineStr">
        <is>
          <t>Toyota Corolla 2.0</t>
        </is>
      </c>
      <c r="D13" s="5" t="inlineStr">
        <is>
          <t>Comando / Estado-Maior</t>
        </is>
      </c>
      <c r="E13" s="7" t="n">
        <v>12</v>
      </c>
      <c r="F13" s="8" t="n">
        <v>31487</v>
      </c>
      <c r="G13" s="8" t="n">
        <v>36409</v>
      </c>
      <c r="H13" s="8" t="n">
        <v>4922</v>
      </c>
      <c r="I13" s="9" t="n">
        <v>520.51</v>
      </c>
      <c r="J13" s="9" t="n">
        <v>10.37</v>
      </c>
      <c r="K13" s="10" t="n">
        <v>3327.46</v>
      </c>
      <c r="L13" s="10" t="n">
        <v>0.68</v>
      </c>
      <c r="M13" s="7" t="n">
        <v>0</v>
      </c>
    </row>
    <row r="14">
      <c r="A14" s="11" t="inlineStr">
        <is>
          <t>BM-14205</t>
        </is>
      </c>
      <c r="B14" s="11" t="inlineStr">
        <is>
          <t>JCY4B15</t>
        </is>
      </c>
      <c r="C14" s="12" t="inlineStr">
        <is>
          <t>Toyota Corolla 2.0</t>
        </is>
      </c>
      <c r="D14" s="11" t="inlineStr">
        <is>
          <t>1ª Cia - Rádio Patrulha</t>
        </is>
      </c>
      <c r="E14" s="13" t="n">
        <v>13</v>
      </c>
      <c r="F14" s="14" t="n">
        <v>34961</v>
      </c>
      <c r="G14" s="14" t="n">
        <v>39915</v>
      </c>
      <c r="H14" s="14" t="n">
        <v>4954</v>
      </c>
      <c r="I14" s="15" t="n">
        <v>540.45</v>
      </c>
      <c r="J14" s="15" t="n">
        <v>10.02</v>
      </c>
      <c r="K14" s="16" t="n">
        <v>3343.08</v>
      </c>
      <c r="L14" s="16" t="n">
        <v>0.67</v>
      </c>
      <c r="M14" s="13" t="n">
        <v>0</v>
      </c>
    </row>
    <row r="15">
      <c r="A15" s="5" t="inlineStr">
        <is>
          <t>BM-15010</t>
        </is>
      </c>
      <c r="B15" s="5" t="inlineStr">
        <is>
          <t>JZZ7C34</t>
        </is>
      </c>
      <c r="C15" s="6" t="inlineStr">
        <is>
          <t>Chevrolet Spin 1.8</t>
        </is>
      </c>
      <c r="D15" s="5" t="inlineStr">
        <is>
          <t>2ª Companhia - Caçapava</t>
        </is>
      </c>
      <c r="E15" s="7" t="n">
        <v>8</v>
      </c>
      <c r="F15" s="8" t="n">
        <v>88707</v>
      </c>
      <c r="G15" s="8" t="n">
        <v>91182</v>
      </c>
      <c r="H15" s="8" t="n">
        <v>2475</v>
      </c>
      <c r="I15" s="9" t="n">
        <v>324.87</v>
      </c>
      <c r="J15" s="9" t="n">
        <v>8.84</v>
      </c>
      <c r="K15" s="10" t="n">
        <v>2019.46</v>
      </c>
      <c r="L15" s="10" t="n">
        <v>0.82</v>
      </c>
      <c r="M15" s="7" t="n">
        <v>0</v>
      </c>
    </row>
    <row r="16">
      <c r="A16" s="11" t="inlineStr">
        <is>
          <t>BM-15012</t>
        </is>
      </c>
      <c r="B16" s="11" t="inlineStr">
        <is>
          <t>JZZ7C40</t>
        </is>
      </c>
      <c r="C16" s="12" t="inlineStr">
        <is>
          <t>Chevrolet Spin 1.8</t>
        </is>
      </c>
      <c r="D16" s="11" t="inlineStr">
        <is>
          <t>2ª Companhia - Lavras do Sul</t>
        </is>
      </c>
      <c r="E16" s="13" t="n">
        <v>11</v>
      </c>
      <c r="F16" s="14" t="n">
        <v>94536</v>
      </c>
      <c r="G16" s="14" t="n">
        <v>98163</v>
      </c>
      <c r="H16" s="14" t="n">
        <v>3627</v>
      </c>
      <c r="I16" s="15" t="n">
        <v>468.51</v>
      </c>
      <c r="J16" s="15" t="n">
        <v>8.69</v>
      </c>
      <c r="K16" s="16" t="n">
        <v>2893.59</v>
      </c>
      <c r="L16" s="16" t="n">
        <v>0.8</v>
      </c>
      <c r="M16" s="13" t="n">
        <v>0</v>
      </c>
    </row>
    <row r="17">
      <c r="A17" s="17" t="inlineStr">
        <is>
          <t>TOTAL GERAL</t>
        </is>
      </c>
      <c r="E17" s="18">
        <f>SUM(E9:E16)</f>
        <v/>
      </c>
      <c r="H17" s="19">
        <f>SUM(H9:H16)</f>
        <v/>
      </c>
      <c r="I17" s="20">
        <f>SUM(I9:I16)</f>
        <v/>
      </c>
      <c r="J17" s="20">
        <f>IF(I17&gt;0, H17/I17, 0)</f>
        <v/>
      </c>
      <c r="K17" s="21">
        <f>SUM(K9:K16)</f>
        <v/>
      </c>
      <c r="L17" s="21">
        <f>IF(H17&gt;0, K17/H17, 0)</f>
        <v/>
      </c>
      <c r="M17" s="18">
        <f>SUM(M9:M16)</f>
        <v/>
      </c>
    </row>
  </sheetData>
  <mergeCells count="6">
    <mergeCell ref="N4:O5"/>
    <mergeCell ref="A17:D17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1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21" customWidth="1" min="13" max="13"/>
    <col width="35" customWidth="1" min="14" max="14"/>
    <col width="11" customWidth="1" min="15" max="15"/>
    <col width="18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2026-08-20 02:11</t>
        </is>
      </c>
      <c r="B2" s="5" t="inlineStr">
        <is>
          <t>BM-12450</t>
        </is>
      </c>
      <c r="C2" s="5" t="inlineStr">
        <is>
          <t>IXO8A12</t>
        </is>
      </c>
      <c r="D2" s="22" t="inlineStr">
        <is>
          <t>Renault Duster 1.6</t>
        </is>
      </c>
      <c r="E2" s="23" t="n">
        <v>42500</v>
      </c>
      <c r="F2" s="24" t="inlineStr">
        <is>
          <t>-</t>
        </is>
      </c>
      <c r="G2" s="23" t="n">
        <v>0</v>
      </c>
      <c r="H2" s="9" t="n">
        <v>37.71</v>
      </c>
      <c r="I2" s="9" t="n">
        <v>0</v>
      </c>
      <c r="J2" s="10" t="n">
        <v>6.1</v>
      </c>
      <c r="K2" s="10" t="n">
        <v>230.03</v>
      </c>
      <c r="L2" s="10" t="n">
        <v>0</v>
      </c>
      <c r="M2" s="5" t="inlineStr">
        <is>
          <t>Gasolina Comum</t>
        </is>
      </c>
      <c r="N2" s="22" t="inlineStr">
        <is>
          <t>Posto Ipiranga Tiaraju (Bagé)</t>
        </is>
      </c>
      <c r="O2" s="5" t="inlineStr">
        <is>
          <t>Bagé</t>
        </is>
      </c>
      <c r="P2" s="22" t="inlineStr">
        <is>
          <t>Sd PM Silva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2026-08-26 08:03</t>
        </is>
      </c>
      <c r="B3" s="11" t="inlineStr">
        <is>
          <t>BM-12450</t>
        </is>
      </c>
      <c r="C3" s="11" t="inlineStr">
        <is>
          <t>IXO8A12</t>
        </is>
      </c>
      <c r="D3" s="25" t="inlineStr">
        <is>
          <t>Renault Duster 1.6</t>
        </is>
      </c>
      <c r="E3" s="26" t="n">
        <v>42930</v>
      </c>
      <c r="F3" s="26" t="n">
        <v>42500</v>
      </c>
      <c r="G3" s="26" t="n">
        <v>430</v>
      </c>
      <c r="H3" s="15" t="n">
        <v>48.43</v>
      </c>
      <c r="I3" s="15" t="n">
        <v>8.880000000000001</v>
      </c>
      <c r="J3" s="16" t="n">
        <v>6.05</v>
      </c>
      <c r="K3" s="16" t="n">
        <v>293</v>
      </c>
      <c r="L3" s="16" t="n">
        <v>0.68</v>
      </c>
      <c r="M3" s="11" t="inlineStr">
        <is>
          <t>Gasolina Comum</t>
        </is>
      </c>
      <c r="N3" s="25" t="inlineStr">
        <is>
          <t>Posto da Guarnição Militar Bagé</t>
        </is>
      </c>
      <c r="O3" s="11" t="inlineStr">
        <is>
          <t>Bagé</t>
        </is>
      </c>
      <c r="P3" s="25" t="inlineStr">
        <is>
          <t>Sd PM Rodrigues</t>
        </is>
      </c>
      <c r="Q3" s="25" t="inlineStr"/>
    </row>
    <row r="4">
      <c r="A4" s="5" t="inlineStr">
        <is>
          <t>2026-08-28 03:25</t>
        </is>
      </c>
      <c r="B4" s="5" t="inlineStr">
        <is>
          <t>BM-12450</t>
        </is>
      </c>
      <c r="C4" s="5" t="inlineStr">
        <is>
          <t>IXO8A12</t>
        </is>
      </c>
      <c r="D4" s="22" t="inlineStr">
        <is>
          <t>Renault Duster 1.6</t>
        </is>
      </c>
      <c r="E4" s="23" t="n">
        <v>43197</v>
      </c>
      <c r="F4" s="23" t="n">
        <v>42930</v>
      </c>
      <c r="G4" s="23" t="n">
        <v>267</v>
      </c>
      <c r="H4" s="9" t="n">
        <v>32.21</v>
      </c>
      <c r="I4" s="9" t="n">
        <v>8.289999999999999</v>
      </c>
      <c r="J4" s="10" t="n">
        <v>6.26</v>
      </c>
      <c r="K4" s="10" t="n">
        <v>201.63</v>
      </c>
      <c r="L4" s="10" t="n">
        <v>0.76</v>
      </c>
      <c r="M4" s="5" t="inlineStr">
        <is>
          <t>Gasolina Comum</t>
        </is>
      </c>
      <c r="N4" s="22" t="inlineStr">
        <is>
          <t>Posto da Guarnição Militar Bagé</t>
        </is>
      </c>
      <c r="O4" s="5" t="inlineStr">
        <is>
          <t>Bagé</t>
        </is>
      </c>
      <c r="P4" s="22" t="inlineStr">
        <is>
          <t>Sd PM Santos</t>
        </is>
      </c>
      <c r="Q4" s="22" t="inlineStr"/>
    </row>
    <row r="5">
      <c r="A5" s="11" t="inlineStr">
        <is>
          <t>2026-08-31 00:35</t>
        </is>
      </c>
      <c r="B5" s="11" t="inlineStr">
        <is>
          <t>BM-12450</t>
        </is>
      </c>
      <c r="C5" s="11" t="inlineStr">
        <is>
          <t>IXO8A12</t>
        </is>
      </c>
      <c r="D5" s="25" t="inlineStr">
        <is>
          <t>Renault Duster 1.6</t>
        </is>
      </c>
      <c r="E5" s="26" t="n">
        <v>43575</v>
      </c>
      <c r="F5" s="26" t="n">
        <v>43197</v>
      </c>
      <c r="G5" s="26" t="n">
        <v>378</v>
      </c>
      <c r="H5" s="15" t="n">
        <v>41</v>
      </c>
      <c r="I5" s="15" t="n">
        <v>9.220000000000001</v>
      </c>
      <c r="J5" s="16" t="n">
        <v>6.27</v>
      </c>
      <c r="K5" s="16" t="n">
        <v>257.07</v>
      </c>
      <c r="L5" s="16" t="n">
        <v>0.68</v>
      </c>
      <c r="M5" s="11" t="inlineStr">
        <is>
          <t>Gasolina Comum</t>
        </is>
      </c>
      <c r="N5" s="25" t="inlineStr">
        <is>
          <t>Posto Petrobras Centro Bagé</t>
        </is>
      </c>
      <c r="O5" s="11" t="inlineStr">
        <is>
          <t>Bagé</t>
        </is>
      </c>
      <c r="P5" s="25" t="inlineStr">
        <is>
          <t>Sd PM Rodrigues</t>
        </is>
      </c>
      <c r="Q5" s="25" t="inlineStr"/>
    </row>
    <row r="6">
      <c r="A6" s="5" t="inlineStr">
        <is>
          <t>2026-09-03 10:53</t>
        </is>
      </c>
      <c r="B6" s="5" t="inlineStr">
        <is>
          <t>BM-12450</t>
        </is>
      </c>
      <c r="C6" s="5" t="inlineStr">
        <is>
          <t>IXO8A12</t>
        </is>
      </c>
      <c r="D6" s="22" t="inlineStr">
        <is>
          <t>Renault Duster 1.6</t>
        </is>
      </c>
      <c r="E6" s="23" t="n">
        <v>43940</v>
      </c>
      <c r="F6" s="23" t="n">
        <v>43575</v>
      </c>
      <c r="G6" s="23" t="n">
        <v>365</v>
      </c>
      <c r="H6" s="9" t="n">
        <v>44.81</v>
      </c>
      <c r="I6" s="9" t="n">
        <v>8.15</v>
      </c>
      <c r="J6" s="10" t="n">
        <v>6.13</v>
      </c>
      <c r="K6" s="10" t="n">
        <v>274.69</v>
      </c>
      <c r="L6" s="10" t="n">
        <v>0.75</v>
      </c>
      <c r="M6" s="5" t="inlineStr">
        <is>
          <t>Gasolina Comum</t>
        </is>
      </c>
      <c r="N6" s="22" t="inlineStr">
        <is>
          <t>Posto da Guarnição Militar Bagé</t>
        </is>
      </c>
      <c r="O6" s="5" t="inlineStr">
        <is>
          <t>Bagé</t>
        </is>
      </c>
      <c r="P6" s="22" t="inlineStr">
        <is>
          <t>Sd PM Santos</t>
        </is>
      </c>
      <c r="Q6" s="22" t="inlineStr"/>
    </row>
    <row r="7">
      <c r="A7" s="11" t="inlineStr">
        <is>
          <t>2026-09-03 21:50</t>
        </is>
      </c>
      <c r="B7" s="11" t="inlineStr">
        <is>
          <t>BM-12450</t>
        </is>
      </c>
      <c r="C7" s="11" t="inlineStr">
        <is>
          <t>IXO8A12</t>
        </is>
      </c>
      <c r="D7" s="25" t="inlineStr">
        <is>
          <t>Renault Duster 1.6</t>
        </is>
      </c>
      <c r="E7" s="26" t="n">
        <v>44302</v>
      </c>
      <c r="F7" s="26" t="n">
        <v>43940</v>
      </c>
      <c r="G7" s="26" t="n">
        <v>362</v>
      </c>
      <c r="H7" s="15" t="n">
        <v>41.68</v>
      </c>
      <c r="I7" s="15" t="n">
        <v>8.69</v>
      </c>
      <c r="J7" s="16" t="n">
        <v>6.23</v>
      </c>
      <c r="K7" s="16" t="n">
        <v>259.67</v>
      </c>
      <c r="L7" s="16" t="n">
        <v>0.72</v>
      </c>
      <c r="M7" s="11" t="inlineStr">
        <is>
          <t>Gasolina Comum</t>
        </is>
      </c>
      <c r="N7" s="25" t="inlineStr">
        <is>
          <t>Posto Petrobras Centro Bagé</t>
        </is>
      </c>
      <c r="O7" s="11" t="inlineStr">
        <is>
          <t>Bagé</t>
        </is>
      </c>
      <c r="P7" s="25" t="inlineStr">
        <is>
          <t>Sd PM Pereira</t>
        </is>
      </c>
      <c r="Q7" s="25" t="inlineStr"/>
    </row>
    <row r="8">
      <c r="A8" s="5" t="inlineStr">
        <is>
          <t>2026-09-06 06:39</t>
        </is>
      </c>
      <c r="B8" s="5" t="inlineStr">
        <is>
          <t>BM-12450</t>
        </is>
      </c>
      <c r="C8" s="5" t="inlineStr">
        <is>
          <t>IXO8A12</t>
        </is>
      </c>
      <c r="D8" s="22" t="inlineStr">
        <is>
          <t>Renault Duster 1.6</t>
        </is>
      </c>
      <c r="E8" s="23" t="n">
        <v>44607</v>
      </c>
      <c r="F8" s="23" t="n">
        <v>44302</v>
      </c>
      <c r="G8" s="23" t="n">
        <v>305</v>
      </c>
      <c r="H8" s="9" t="n">
        <v>35.71</v>
      </c>
      <c r="I8" s="9" t="n">
        <v>8.539999999999999</v>
      </c>
      <c r="J8" s="10" t="n">
        <v>6.29</v>
      </c>
      <c r="K8" s="10" t="n">
        <v>224.62</v>
      </c>
      <c r="L8" s="10" t="n">
        <v>0.74</v>
      </c>
      <c r="M8" s="5" t="inlineStr">
        <is>
          <t>Gasolina Comum</t>
        </is>
      </c>
      <c r="N8" s="22" t="inlineStr">
        <is>
          <t>Auto Posto Shell Santa Tecla (Bagé)</t>
        </is>
      </c>
      <c r="O8" s="5" t="inlineStr">
        <is>
          <t>Bagé</t>
        </is>
      </c>
      <c r="P8" s="22" t="inlineStr">
        <is>
          <t>Sd PM Rodrigues</t>
        </is>
      </c>
      <c r="Q8" s="22" t="inlineStr"/>
    </row>
    <row r="9">
      <c r="A9" s="11" t="inlineStr">
        <is>
          <t>2026-09-09 02:13</t>
        </is>
      </c>
      <c r="B9" s="11" t="inlineStr">
        <is>
          <t>BM-12450</t>
        </is>
      </c>
      <c r="C9" s="11" t="inlineStr">
        <is>
          <t>IXO8A12</t>
        </is>
      </c>
      <c r="D9" s="25" t="inlineStr">
        <is>
          <t>Renault Duster 1.6</t>
        </is>
      </c>
      <c r="E9" s="26" t="n">
        <v>45044</v>
      </c>
      <c r="F9" s="26" t="n">
        <v>44607</v>
      </c>
      <c r="G9" s="26" t="n">
        <v>437</v>
      </c>
      <c r="H9" s="15" t="n">
        <v>49.88</v>
      </c>
      <c r="I9" s="15" t="n">
        <v>8.76</v>
      </c>
      <c r="J9" s="16" t="n">
        <v>6.3</v>
      </c>
      <c r="K9" s="16" t="n">
        <v>314.24</v>
      </c>
      <c r="L9" s="16" t="n">
        <v>0.72</v>
      </c>
      <c r="M9" s="11" t="inlineStr">
        <is>
          <t>Gasolina Comum</t>
        </is>
      </c>
      <c r="N9" s="25" t="inlineStr">
        <is>
          <t>Auto Posto Shell Santa Tecla (Bagé)</t>
        </is>
      </c>
      <c r="O9" s="11" t="inlineStr">
        <is>
          <t>Bagé</t>
        </is>
      </c>
      <c r="P9" s="25" t="inlineStr">
        <is>
          <t>Sd PM Ferreira</t>
        </is>
      </c>
      <c r="Q9" s="25" t="inlineStr"/>
    </row>
    <row r="10">
      <c r="A10" s="5" t="inlineStr">
        <is>
          <t>2026-09-11 13:12</t>
        </is>
      </c>
      <c r="B10" s="5" t="inlineStr">
        <is>
          <t>BM-12450</t>
        </is>
      </c>
      <c r="C10" s="5" t="inlineStr">
        <is>
          <t>IXO8A12</t>
        </is>
      </c>
      <c r="D10" s="22" t="inlineStr">
        <is>
          <t>Renault Duster 1.6</t>
        </is>
      </c>
      <c r="E10" s="23" t="n">
        <v>45483</v>
      </c>
      <c r="F10" s="23" t="n">
        <v>45044</v>
      </c>
      <c r="G10" s="23" t="n">
        <v>439</v>
      </c>
      <c r="H10" s="9" t="n">
        <v>50.76</v>
      </c>
      <c r="I10" s="9" t="n">
        <v>8.65</v>
      </c>
      <c r="J10" s="10" t="n">
        <v>6.21</v>
      </c>
      <c r="K10" s="10" t="n">
        <v>315.22</v>
      </c>
      <c r="L10" s="10" t="n">
        <v>0.72</v>
      </c>
      <c r="M10" s="5" t="inlineStr">
        <is>
          <t>Gasolina Comum</t>
        </is>
      </c>
      <c r="N10" s="22" t="inlineStr">
        <is>
          <t>Auto Posto Shell Santa Tecla (Bagé)</t>
        </is>
      </c>
      <c r="O10" s="5" t="inlineStr">
        <is>
          <t>Bagé</t>
        </is>
      </c>
      <c r="P10" s="22" t="inlineStr">
        <is>
          <t>Sd PM Pereira</t>
        </is>
      </c>
      <c r="Q10" s="22" t="inlineStr"/>
    </row>
    <row r="11">
      <c r="A11" s="11" t="inlineStr">
        <is>
          <t>2026-09-16 23:19</t>
        </is>
      </c>
      <c r="B11" s="11" t="inlineStr">
        <is>
          <t>BM-12450</t>
        </is>
      </c>
      <c r="C11" s="11" t="inlineStr">
        <is>
          <t>IXO8A12</t>
        </is>
      </c>
      <c r="D11" s="25" t="inlineStr">
        <is>
          <t>Renault Duster 1.6</t>
        </is>
      </c>
      <c r="E11" s="26" t="n">
        <v>45757</v>
      </c>
      <c r="F11" s="26" t="n">
        <v>45483</v>
      </c>
      <c r="G11" s="26" t="n">
        <v>274</v>
      </c>
      <c r="H11" s="15" t="n">
        <v>33.26</v>
      </c>
      <c r="I11" s="15" t="n">
        <v>8.24</v>
      </c>
      <c r="J11" s="16" t="n">
        <v>6.32</v>
      </c>
      <c r="K11" s="16" t="n">
        <v>210.2</v>
      </c>
      <c r="L11" s="16" t="n">
        <v>0.77</v>
      </c>
      <c r="M11" s="11" t="inlineStr">
        <is>
          <t>Gasolina Comum</t>
        </is>
      </c>
      <c r="N11" s="25" t="inlineStr">
        <is>
          <t>Posto Ipiranga Tiaraju (Bagé)</t>
        </is>
      </c>
      <c r="O11" s="11" t="inlineStr">
        <is>
          <t>Bagé</t>
        </is>
      </c>
      <c r="P11" s="25" t="inlineStr">
        <is>
          <t>Sd PM Ferreira</t>
        </is>
      </c>
      <c r="Q11" s="25" t="inlineStr"/>
    </row>
    <row r="12">
      <c r="A12" s="5" t="inlineStr">
        <is>
          <t>2026-09-18 23:06</t>
        </is>
      </c>
      <c r="B12" s="5" t="inlineStr">
        <is>
          <t>BM-12450</t>
        </is>
      </c>
      <c r="C12" s="5" t="inlineStr">
        <is>
          <t>IXO8A12</t>
        </is>
      </c>
      <c r="D12" s="22" t="inlineStr">
        <is>
          <t>Renault Duster 1.6</t>
        </is>
      </c>
      <c r="E12" s="23" t="n">
        <v>46098</v>
      </c>
      <c r="F12" s="23" t="n">
        <v>45757</v>
      </c>
      <c r="G12" s="23" t="n">
        <v>341</v>
      </c>
      <c r="H12" s="9" t="n">
        <v>39.41</v>
      </c>
      <c r="I12" s="9" t="n">
        <v>8.65</v>
      </c>
      <c r="J12" s="10" t="n">
        <v>6.15</v>
      </c>
      <c r="K12" s="10" t="n">
        <v>242.37</v>
      </c>
      <c r="L12" s="10" t="n">
        <v>0.71</v>
      </c>
      <c r="M12" s="5" t="inlineStr">
        <is>
          <t>Gasolina Comum</t>
        </is>
      </c>
      <c r="N12" s="22" t="inlineStr">
        <is>
          <t>Auto Posto Shell Santa Tecla (Bagé)</t>
        </is>
      </c>
      <c r="O12" s="5" t="inlineStr">
        <is>
          <t>Bagé</t>
        </is>
      </c>
      <c r="P12" s="22" t="inlineStr">
        <is>
          <t>Sd PM Ferreira</t>
        </is>
      </c>
      <c r="Q12" s="22" t="inlineStr"/>
    </row>
    <row r="13">
      <c r="A13" s="11" t="inlineStr">
        <is>
          <t>2026-09-23 11:04</t>
        </is>
      </c>
      <c r="B13" s="11" t="inlineStr">
        <is>
          <t>BM-12450</t>
        </is>
      </c>
      <c r="C13" s="11" t="inlineStr">
        <is>
          <t>IXO8A12</t>
        </is>
      </c>
      <c r="D13" s="25" t="inlineStr">
        <is>
          <t>Renault Duster 1.6</t>
        </is>
      </c>
      <c r="E13" s="26" t="n">
        <v>46420</v>
      </c>
      <c r="F13" s="26" t="n">
        <v>46098</v>
      </c>
      <c r="G13" s="26" t="n">
        <v>322</v>
      </c>
      <c r="H13" s="15" t="n">
        <v>34.92</v>
      </c>
      <c r="I13" s="15" t="n">
        <v>9.220000000000001</v>
      </c>
      <c r="J13" s="16" t="n">
        <v>6.19</v>
      </c>
      <c r="K13" s="16" t="n">
        <v>216.15</v>
      </c>
      <c r="L13" s="16" t="n">
        <v>0.67</v>
      </c>
      <c r="M13" s="11" t="inlineStr">
        <is>
          <t>Gasolina Comum</t>
        </is>
      </c>
      <c r="N13" s="25" t="inlineStr">
        <is>
          <t>Posto Petrobras Centro Bagé</t>
        </is>
      </c>
      <c r="O13" s="11" t="inlineStr">
        <is>
          <t>Bagé</t>
        </is>
      </c>
      <c r="P13" s="25" t="inlineStr">
        <is>
          <t>Sd PM Souza</t>
        </is>
      </c>
      <c r="Q13" s="25" t="inlineStr"/>
    </row>
    <row r="14">
      <c r="A14" s="5" t="inlineStr">
        <is>
          <t>2026-08-20 02:11</t>
        </is>
      </c>
      <c r="B14" s="5" t="inlineStr">
        <is>
          <t>BM-12451</t>
        </is>
      </c>
      <c r="C14" s="5" t="inlineStr">
        <is>
          <t>IXO8A15</t>
        </is>
      </c>
      <c r="D14" s="22" t="inlineStr">
        <is>
          <t>Renault Duster 1.6</t>
        </is>
      </c>
      <c r="E14" s="23" t="n">
        <v>51650</v>
      </c>
      <c r="F14" s="24" t="inlineStr">
        <is>
          <t>-</t>
        </is>
      </c>
      <c r="G14" s="23" t="n">
        <v>0</v>
      </c>
      <c r="H14" s="9" t="n">
        <v>51.51</v>
      </c>
      <c r="I14" s="9" t="n">
        <v>0</v>
      </c>
      <c r="J14" s="10" t="n">
        <v>6.16</v>
      </c>
      <c r="K14" s="10" t="n">
        <v>317.3</v>
      </c>
      <c r="L14" s="10" t="n">
        <v>0</v>
      </c>
      <c r="M14" s="5" t="inlineStr">
        <is>
          <t>Gasolina Comum</t>
        </is>
      </c>
      <c r="N14" s="22" t="inlineStr">
        <is>
          <t>Posto Petrobras Centro Bagé</t>
        </is>
      </c>
      <c r="O14" s="5" t="inlineStr">
        <is>
          <t>Bagé</t>
        </is>
      </c>
      <c r="P14" s="22" t="inlineStr">
        <is>
          <t>Sd PM Rodrigues</t>
        </is>
      </c>
      <c r="Q14" s="22" t="inlineStr">
        <is>
          <t>Primeiro registro do período (sem odômetro anterior para cálculo)</t>
        </is>
      </c>
    </row>
    <row r="15">
      <c r="A15" s="11" t="inlineStr">
        <is>
          <t>2026-08-21 22:53</t>
        </is>
      </c>
      <c r="B15" s="11" t="inlineStr">
        <is>
          <t>BM-12451</t>
        </is>
      </c>
      <c r="C15" s="11" t="inlineStr">
        <is>
          <t>IXO8A15</t>
        </is>
      </c>
      <c r="D15" s="25" t="inlineStr">
        <is>
          <t>Renault Duster 1.6</t>
        </is>
      </c>
      <c r="E15" s="26" t="n">
        <v>52024</v>
      </c>
      <c r="F15" s="26" t="n">
        <v>51650</v>
      </c>
      <c r="G15" s="26" t="n">
        <v>374</v>
      </c>
      <c r="H15" s="15" t="n">
        <v>43.78</v>
      </c>
      <c r="I15" s="15" t="n">
        <v>8.539999999999999</v>
      </c>
      <c r="J15" s="16" t="n">
        <v>6.23</v>
      </c>
      <c r="K15" s="16" t="n">
        <v>272.75</v>
      </c>
      <c r="L15" s="16" t="n">
        <v>0.73</v>
      </c>
      <c r="M15" s="11" t="inlineStr">
        <is>
          <t>Gasolina Comum</t>
        </is>
      </c>
      <c r="N15" s="25" t="inlineStr">
        <is>
          <t>Posto Petrobras Centro Bagé</t>
        </is>
      </c>
      <c r="O15" s="11" t="inlineStr">
        <is>
          <t>Bagé</t>
        </is>
      </c>
      <c r="P15" s="25" t="inlineStr">
        <is>
          <t>Sd PM Santos</t>
        </is>
      </c>
      <c r="Q15" s="25" t="inlineStr"/>
    </row>
    <row r="16">
      <c r="A16" s="5" t="inlineStr">
        <is>
          <t>2026-08-28 22:44</t>
        </is>
      </c>
      <c r="B16" s="5" t="inlineStr">
        <is>
          <t>BM-12451</t>
        </is>
      </c>
      <c r="C16" s="5" t="inlineStr">
        <is>
          <t>IXO8A15</t>
        </is>
      </c>
      <c r="D16" s="22" t="inlineStr">
        <is>
          <t>Renault Duster 1.6</t>
        </is>
      </c>
      <c r="E16" s="23" t="n">
        <v>52319</v>
      </c>
      <c r="F16" s="23" t="n">
        <v>52024</v>
      </c>
      <c r="G16" s="23" t="n">
        <v>295</v>
      </c>
      <c r="H16" s="9" t="n">
        <v>37.63</v>
      </c>
      <c r="I16" s="9" t="n">
        <v>7.84</v>
      </c>
      <c r="J16" s="10" t="n">
        <v>6.25</v>
      </c>
      <c r="K16" s="10" t="n">
        <v>235.19</v>
      </c>
      <c r="L16" s="10" t="n">
        <v>0.8</v>
      </c>
      <c r="M16" s="5" t="inlineStr">
        <is>
          <t>Gasolina Comum</t>
        </is>
      </c>
      <c r="N16" s="22" t="inlineStr">
        <is>
          <t>Posto Ipiranga Tiaraju (Bagé)</t>
        </is>
      </c>
      <c r="O16" s="5" t="inlineStr">
        <is>
          <t>Bagé</t>
        </is>
      </c>
      <c r="P16" s="22" t="inlineStr">
        <is>
          <t>Sd PM Ferreira</t>
        </is>
      </c>
      <c r="Q16" s="22" t="inlineStr"/>
    </row>
    <row r="17">
      <c r="A17" s="11" t="inlineStr">
        <is>
          <t>2026-09-03 10:53</t>
        </is>
      </c>
      <c r="B17" s="11" t="inlineStr">
        <is>
          <t>BM-12451</t>
        </is>
      </c>
      <c r="C17" s="11" t="inlineStr">
        <is>
          <t>IXO8A15</t>
        </is>
      </c>
      <c r="D17" s="25" t="inlineStr">
        <is>
          <t>Renault Duster 1.6</t>
        </is>
      </c>
      <c r="E17" s="26" t="n">
        <v>52581</v>
      </c>
      <c r="F17" s="26" t="n">
        <v>52319</v>
      </c>
      <c r="G17" s="26" t="n">
        <v>262</v>
      </c>
      <c r="H17" s="15" t="n">
        <v>33.61</v>
      </c>
      <c r="I17" s="15" t="n">
        <v>7.8</v>
      </c>
      <c r="J17" s="16" t="n">
        <v>6.24</v>
      </c>
      <c r="K17" s="16" t="n">
        <v>209.73</v>
      </c>
      <c r="L17" s="16" t="n">
        <v>0.8</v>
      </c>
      <c r="M17" s="11" t="inlineStr">
        <is>
          <t>Gasolina Comum</t>
        </is>
      </c>
      <c r="N17" s="25" t="inlineStr">
        <is>
          <t>Auto Posto Shell Santa Tecla (Bagé)</t>
        </is>
      </c>
      <c r="O17" s="11" t="inlineStr">
        <is>
          <t>Bagé</t>
        </is>
      </c>
      <c r="P17" s="25" t="inlineStr">
        <is>
          <t>Sd PM Santos</t>
        </is>
      </c>
      <c r="Q17" s="25" t="inlineStr"/>
    </row>
    <row r="18">
      <c r="A18" s="5" t="inlineStr">
        <is>
          <t>2026-09-06 06:39</t>
        </is>
      </c>
      <c r="B18" s="5" t="inlineStr">
        <is>
          <t>BM-12451</t>
        </is>
      </c>
      <c r="C18" s="5" t="inlineStr">
        <is>
          <t>IXO8A15</t>
        </is>
      </c>
      <c r="D18" s="22" t="inlineStr">
        <is>
          <t>Renault Duster 1.6</t>
        </is>
      </c>
      <c r="E18" s="23" t="n">
        <v>52968</v>
      </c>
      <c r="F18" s="23" t="n">
        <v>52581</v>
      </c>
      <c r="G18" s="23" t="n">
        <v>387</v>
      </c>
      <c r="H18" s="9" t="n">
        <v>49.12</v>
      </c>
      <c r="I18" s="9" t="n">
        <v>7.88</v>
      </c>
      <c r="J18" s="10" t="n">
        <v>6.25</v>
      </c>
      <c r="K18" s="10" t="n">
        <v>307</v>
      </c>
      <c r="L18" s="10" t="n">
        <v>0.79</v>
      </c>
      <c r="M18" s="5" t="inlineStr">
        <is>
          <t>Gasolina Comum</t>
        </is>
      </c>
      <c r="N18" s="22" t="inlineStr">
        <is>
          <t>Posto Petrobras Centro Bagé</t>
        </is>
      </c>
      <c r="O18" s="5" t="inlineStr">
        <is>
          <t>Bagé</t>
        </is>
      </c>
      <c r="P18" s="22" t="inlineStr">
        <is>
          <t>Sd PM Souza</t>
        </is>
      </c>
      <c r="Q18" s="22" t="inlineStr"/>
    </row>
    <row r="19">
      <c r="A19" s="11" t="inlineStr">
        <is>
          <t>2026-09-07 14:32</t>
        </is>
      </c>
      <c r="B19" s="11" t="inlineStr">
        <is>
          <t>BM-12451</t>
        </is>
      </c>
      <c r="C19" s="11" t="inlineStr">
        <is>
          <t>IXO8A15</t>
        </is>
      </c>
      <c r="D19" s="25" t="inlineStr">
        <is>
          <t>Renault Duster 1.6</t>
        </is>
      </c>
      <c r="E19" s="26" t="n">
        <v>53390</v>
      </c>
      <c r="F19" s="26" t="n">
        <v>52968</v>
      </c>
      <c r="G19" s="26" t="n">
        <v>422</v>
      </c>
      <c r="H19" s="15" t="n">
        <v>49.32</v>
      </c>
      <c r="I19" s="15" t="n">
        <v>8.56</v>
      </c>
      <c r="J19" s="16" t="n">
        <v>6.11</v>
      </c>
      <c r="K19" s="16" t="n">
        <v>301.35</v>
      </c>
      <c r="L19" s="16" t="n">
        <v>0.71</v>
      </c>
      <c r="M19" s="11" t="inlineStr">
        <is>
          <t>Gasolina Comum</t>
        </is>
      </c>
      <c r="N19" s="25" t="inlineStr">
        <is>
          <t>Posto da Guarnição Militar Bagé</t>
        </is>
      </c>
      <c r="O19" s="11" t="inlineStr">
        <is>
          <t>Bagé</t>
        </is>
      </c>
      <c r="P19" s="25" t="inlineStr">
        <is>
          <t>Sd PM Oliveira</t>
        </is>
      </c>
      <c r="Q19" s="25" t="inlineStr"/>
    </row>
    <row r="20">
      <c r="A20" s="5" t="inlineStr">
        <is>
          <t>2026-09-08 13:54</t>
        </is>
      </c>
      <c r="B20" s="5" t="inlineStr">
        <is>
          <t>BM-12451</t>
        </is>
      </c>
      <c r="C20" s="5" t="inlineStr">
        <is>
          <t>IXO8A15</t>
        </is>
      </c>
      <c r="D20" s="22" t="inlineStr">
        <is>
          <t>Renault Duster 1.6</t>
        </is>
      </c>
      <c r="E20" s="23" t="n">
        <v>53785</v>
      </c>
      <c r="F20" s="23" t="n">
        <v>53390</v>
      </c>
      <c r="G20" s="23" t="n">
        <v>395</v>
      </c>
      <c r="H20" s="9" t="n">
        <v>48.37</v>
      </c>
      <c r="I20" s="9" t="n">
        <v>8.17</v>
      </c>
      <c r="J20" s="10" t="n">
        <v>6.23</v>
      </c>
      <c r="K20" s="10" t="n">
        <v>301.35</v>
      </c>
      <c r="L20" s="10" t="n">
        <v>0.76</v>
      </c>
      <c r="M20" s="5" t="inlineStr">
        <is>
          <t>Gasolina Comum</t>
        </is>
      </c>
      <c r="N20" s="22" t="inlineStr">
        <is>
          <t>Posto Ipiranga Tiaraju (Bagé)</t>
        </is>
      </c>
      <c r="O20" s="5" t="inlineStr">
        <is>
          <t>Bagé</t>
        </is>
      </c>
      <c r="P20" s="22" t="inlineStr">
        <is>
          <t>Sd PM Souza</t>
        </is>
      </c>
      <c r="Q20" s="22" t="inlineStr"/>
    </row>
    <row r="21">
      <c r="A21" s="11" t="inlineStr">
        <is>
          <t>2026-09-10 05:14</t>
        </is>
      </c>
      <c r="B21" s="11" t="inlineStr">
        <is>
          <t>BM-12451</t>
        </is>
      </c>
      <c r="C21" s="11" t="inlineStr">
        <is>
          <t>IXO8A15</t>
        </is>
      </c>
      <c r="D21" s="25" t="inlineStr">
        <is>
          <t>Renault Duster 1.6</t>
        </is>
      </c>
      <c r="E21" s="26" t="n">
        <v>54175</v>
      </c>
      <c r="F21" s="26" t="n">
        <v>53785</v>
      </c>
      <c r="G21" s="26" t="n">
        <v>390</v>
      </c>
      <c r="H21" s="15" t="n">
        <v>50.41</v>
      </c>
      <c r="I21" s="15" t="n">
        <v>7.74</v>
      </c>
      <c r="J21" s="16" t="n">
        <v>6.32</v>
      </c>
      <c r="K21" s="16" t="n">
        <v>318.59</v>
      </c>
      <c r="L21" s="16" t="n">
        <v>0.82</v>
      </c>
      <c r="M21" s="11" t="inlineStr">
        <is>
          <t>Gasolina Comum</t>
        </is>
      </c>
      <c r="N21" s="25" t="inlineStr">
        <is>
          <t>Posto Petrobras Centro Bagé</t>
        </is>
      </c>
      <c r="O21" s="11" t="inlineStr">
        <is>
          <t>Bagé</t>
        </is>
      </c>
      <c r="P21" s="25" t="inlineStr">
        <is>
          <t>Sd PM Oliveira</t>
        </is>
      </c>
      <c r="Q21" s="25" t="inlineStr"/>
    </row>
    <row r="22">
      <c r="A22" s="5" t="inlineStr">
        <is>
          <t>2026-09-11 23:06</t>
        </is>
      </c>
      <c r="B22" s="5" t="inlineStr">
        <is>
          <t>BM-12451</t>
        </is>
      </c>
      <c r="C22" s="5" t="inlineStr">
        <is>
          <t>IXO8A15</t>
        </is>
      </c>
      <c r="D22" s="22" t="inlineStr">
        <is>
          <t>Renault Duster 1.6</t>
        </is>
      </c>
      <c r="E22" s="23" t="n">
        <v>54567</v>
      </c>
      <c r="F22" s="23" t="n">
        <v>54175</v>
      </c>
      <c r="G22" s="23" t="n">
        <v>392</v>
      </c>
      <c r="H22" s="9" t="n">
        <v>48.93</v>
      </c>
      <c r="I22" s="9" t="n">
        <v>8.01</v>
      </c>
      <c r="J22" s="10" t="n">
        <v>6.29</v>
      </c>
      <c r="K22" s="10" t="n">
        <v>307.77</v>
      </c>
      <c r="L22" s="10" t="n">
        <v>0.79</v>
      </c>
      <c r="M22" s="5" t="inlineStr">
        <is>
          <t>Gasolina Comum</t>
        </is>
      </c>
      <c r="N22" s="22" t="inlineStr">
        <is>
          <t>Auto Posto Shell Santa Tecla (Bagé)</t>
        </is>
      </c>
      <c r="O22" s="5" t="inlineStr">
        <is>
          <t>Bagé</t>
        </is>
      </c>
      <c r="P22" s="22" t="inlineStr">
        <is>
          <t>Sd PM Rodrigues</t>
        </is>
      </c>
      <c r="Q22" s="22" t="inlineStr"/>
    </row>
    <row r="23">
      <c r="A23" s="11" t="inlineStr">
        <is>
          <t>2026-09-15 11:15</t>
        </is>
      </c>
      <c r="B23" s="11" t="inlineStr">
        <is>
          <t>BM-12451</t>
        </is>
      </c>
      <c r="C23" s="11" t="inlineStr">
        <is>
          <t>IXO8A15</t>
        </is>
      </c>
      <c r="D23" s="25" t="inlineStr">
        <is>
          <t>Renault Duster 1.6</t>
        </is>
      </c>
      <c r="E23" s="26" t="n">
        <v>54990</v>
      </c>
      <c r="F23" s="26" t="n">
        <v>54567</v>
      </c>
      <c r="G23" s="26" t="n">
        <v>423</v>
      </c>
      <c r="H23" s="15" t="n">
        <v>49.13</v>
      </c>
      <c r="I23" s="15" t="n">
        <v>8.609999999999999</v>
      </c>
      <c r="J23" s="16" t="n">
        <v>6.15</v>
      </c>
      <c r="K23" s="16" t="n">
        <v>302.15</v>
      </c>
      <c r="L23" s="16" t="n">
        <v>0.71</v>
      </c>
      <c r="M23" s="11" t="inlineStr">
        <is>
          <t>Gasolina Comum</t>
        </is>
      </c>
      <c r="N23" s="25" t="inlineStr">
        <is>
          <t>Auto Posto Shell Santa Tecla (Bagé)</t>
        </is>
      </c>
      <c r="O23" s="11" t="inlineStr">
        <is>
          <t>Bagé</t>
        </is>
      </c>
      <c r="P23" s="25" t="inlineStr">
        <is>
          <t>Sd PM Souza</t>
        </is>
      </c>
      <c r="Q23" s="25" t="inlineStr"/>
    </row>
    <row r="24">
      <c r="A24" s="5" t="inlineStr">
        <is>
          <t>2026-09-18 23:06</t>
        </is>
      </c>
      <c r="B24" s="5" t="inlineStr">
        <is>
          <t>BM-12451</t>
        </is>
      </c>
      <c r="C24" s="5" t="inlineStr">
        <is>
          <t>IXO8A15</t>
        </is>
      </c>
      <c r="D24" s="22" t="inlineStr">
        <is>
          <t>Renault Duster 1.6</t>
        </is>
      </c>
      <c r="E24" s="23" t="n">
        <v>55287</v>
      </c>
      <c r="F24" s="23" t="n">
        <v>54990</v>
      </c>
      <c r="G24" s="23" t="n">
        <v>297</v>
      </c>
      <c r="H24" s="9" t="n">
        <v>35.24</v>
      </c>
      <c r="I24" s="9" t="n">
        <v>8.43</v>
      </c>
      <c r="J24" s="10" t="n">
        <v>6.2</v>
      </c>
      <c r="K24" s="10" t="n">
        <v>218.49</v>
      </c>
      <c r="L24" s="10" t="n">
        <v>0.74</v>
      </c>
      <c r="M24" s="5" t="inlineStr">
        <is>
          <t>Gasolina Comum</t>
        </is>
      </c>
      <c r="N24" s="22" t="inlineStr">
        <is>
          <t>Auto Posto Shell Santa Tecla (Bagé)</t>
        </is>
      </c>
      <c r="O24" s="5" t="inlineStr">
        <is>
          <t>Bagé</t>
        </is>
      </c>
      <c r="P24" s="22" t="inlineStr">
        <is>
          <t>Sd PM Rodrigues</t>
        </is>
      </c>
      <c r="Q24" s="22" t="inlineStr"/>
    </row>
    <row r="25">
      <c r="A25" s="11" t="inlineStr">
        <is>
          <t>2026-09-21 05:20</t>
        </is>
      </c>
      <c r="B25" s="11" t="inlineStr">
        <is>
          <t>BM-12451</t>
        </is>
      </c>
      <c r="C25" s="11" t="inlineStr">
        <is>
          <t>IXO8A15</t>
        </is>
      </c>
      <c r="D25" s="25" t="inlineStr">
        <is>
          <t>Renault Duster 1.6</t>
        </is>
      </c>
      <c r="E25" s="26" t="n">
        <v>55555</v>
      </c>
      <c r="F25" s="26" t="n">
        <v>55287</v>
      </c>
      <c r="G25" s="26" t="n">
        <v>268</v>
      </c>
      <c r="H25" s="15" t="n">
        <v>33.46</v>
      </c>
      <c r="I25" s="15" t="n">
        <v>8.01</v>
      </c>
      <c r="J25" s="16" t="n">
        <v>6.23</v>
      </c>
      <c r="K25" s="16" t="n">
        <v>208.46</v>
      </c>
      <c r="L25" s="16" t="n">
        <v>0.78</v>
      </c>
      <c r="M25" s="11" t="inlineStr">
        <is>
          <t>Gasolina Comum</t>
        </is>
      </c>
      <c r="N25" s="25" t="inlineStr">
        <is>
          <t>Posto Petrobras Centro Bagé</t>
        </is>
      </c>
      <c r="O25" s="11" t="inlineStr">
        <is>
          <t>Bagé</t>
        </is>
      </c>
      <c r="P25" s="25" t="inlineStr">
        <is>
          <t>Sd PM Ferreira</t>
        </is>
      </c>
      <c r="Q25" s="25" t="inlineStr"/>
    </row>
    <row r="26">
      <c r="A26" s="5" t="inlineStr">
        <is>
          <t>2026-09-22 08:12</t>
        </is>
      </c>
      <c r="B26" s="5" t="inlineStr">
        <is>
          <t>BM-12451</t>
        </is>
      </c>
      <c r="C26" s="5" t="inlineStr">
        <is>
          <t>IXO8A15</t>
        </is>
      </c>
      <c r="D26" s="22" t="inlineStr">
        <is>
          <t>Renault Duster 1.6</t>
        </is>
      </c>
      <c r="E26" s="23" t="n">
        <v>55952</v>
      </c>
      <c r="F26" s="23" t="n">
        <v>55555</v>
      </c>
      <c r="G26" s="23" t="n">
        <v>397</v>
      </c>
      <c r="H26" s="9" t="n">
        <v>50.13</v>
      </c>
      <c r="I26" s="9" t="n">
        <v>7.92</v>
      </c>
      <c r="J26" s="10" t="n">
        <v>6.29</v>
      </c>
      <c r="K26" s="10" t="n">
        <v>315.32</v>
      </c>
      <c r="L26" s="10" t="n">
        <v>0.79</v>
      </c>
      <c r="M26" s="5" t="inlineStr">
        <is>
          <t>Gasolina Comum</t>
        </is>
      </c>
      <c r="N26" s="22" t="inlineStr">
        <is>
          <t>Posto Petrobras Centro Bagé</t>
        </is>
      </c>
      <c r="O26" s="5" t="inlineStr">
        <is>
          <t>Bagé</t>
        </is>
      </c>
      <c r="P26" s="22" t="inlineStr">
        <is>
          <t>Sd PM Silva</t>
        </is>
      </c>
      <c r="Q26" s="22" t="inlineStr"/>
    </row>
    <row r="27">
      <c r="A27" s="11" t="inlineStr">
        <is>
          <t>2026-08-20 02:11</t>
        </is>
      </c>
      <c r="B27" s="11" t="inlineStr">
        <is>
          <t>BM-13100</t>
        </is>
      </c>
      <c r="C27" s="11" t="inlineStr">
        <is>
          <t>JBG9A87</t>
        </is>
      </c>
      <c r="D27" s="25" t="inlineStr">
        <is>
          <t>Toyota Hilux 4x4</t>
        </is>
      </c>
      <c r="E27" s="26" t="n">
        <v>68878</v>
      </c>
      <c r="F27" s="27" t="inlineStr">
        <is>
          <t>-</t>
        </is>
      </c>
      <c r="G27" s="26" t="n">
        <v>0</v>
      </c>
      <c r="H27" s="15" t="n">
        <v>49.06</v>
      </c>
      <c r="I27" s="15" t="n">
        <v>0</v>
      </c>
      <c r="J27" s="16" t="n">
        <v>6.19</v>
      </c>
      <c r="K27" s="16" t="n">
        <v>303.68</v>
      </c>
      <c r="L27" s="16" t="n">
        <v>0</v>
      </c>
      <c r="M27" s="11" t="inlineStr">
        <is>
          <t>Diesel S10</t>
        </is>
      </c>
      <c r="N27" s="25" t="inlineStr">
        <is>
          <t>Posto Ipiranga Tiaraju (Bagé)</t>
        </is>
      </c>
      <c r="O27" s="11" t="inlineStr">
        <is>
          <t>Bagé</t>
        </is>
      </c>
      <c r="P27" s="25" t="inlineStr">
        <is>
          <t>Sd PM Souza</t>
        </is>
      </c>
      <c r="Q27" s="25" t="inlineStr">
        <is>
          <t>Primeiro registro do período (sem odômetro anterior para cálculo)</t>
        </is>
      </c>
    </row>
    <row r="28">
      <c r="A28" s="5" t="inlineStr">
        <is>
          <t>2026-08-24 03:48</t>
        </is>
      </c>
      <c r="B28" s="5" t="inlineStr">
        <is>
          <t>BM-13100</t>
        </is>
      </c>
      <c r="C28" s="5" t="inlineStr">
        <is>
          <t>JBG9A87</t>
        </is>
      </c>
      <c r="D28" s="22" t="inlineStr">
        <is>
          <t>Toyota Hilux 4x4</t>
        </is>
      </c>
      <c r="E28" s="23" t="n">
        <v>69311</v>
      </c>
      <c r="F28" s="23" t="n">
        <v>68878</v>
      </c>
      <c r="G28" s="23" t="n">
        <v>433</v>
      </c>
      <c r="H28" s="9" t="n">
        <v>45.02</v>
      </c>
      <c r="I28" s="9" t="n">
        <v>9.619999999999999</v>
      </c>
      <c r="J28" s="10" t="n">
        <v>5.97</v>
      </c>
      <c r="K28" s="10" t="n">
        <v>268.77</v>
      </c>
      <c r="L28" s="10" t="n">
        <v>0.62</v>
      </c>
      <c r="M28" s="5" t="inlineStr">
        <is>
          <t>Diesel S10</t>
        </is>
      </c>
      <c r="N28" s="22" t="inlineStr">
        <is>
          <t>Posto da Guarnição Militar Bagé</t>
        </is>
      </c>
      <c r="O28" s="5" t="inlineStr">
        <is>
          <t>Bagé</t>
        </is>
      </c>
      <c r="P28" s="22" t="inlineStr">
        <is>
          <t>Sd PM Souza</t>
        </is>
      </c>
      <c r="Q28" s="22" t="inlineStr"/>
    </row>
    <row r="29">
      <c r="A29" s="11" t="inlineStr">
        <is>
          <t>2026-08-28 03:25</t>
        </is>
      </c>
      <c r="B29" s="11" t="inlineStr">
        <is>
          <t>BM-13100</t>
        </is>
      </c>
      <c r="C29" s="11" t="inlineStr">
        <is>
          <t>JBG9A87</t>
        </is>
      </c>
      <c r="D29" s="25" t="inlineStr">
        <is>
          <t>Toyota Hilux 4x4</t>
        </is>
      </c>
      <c r="E29" s="26" t="n">
        <v>69690</v>
      </c>
      <c r="F29" s="26" t="n">
        <v>69311</v>
      </c>
      <c r="G29" s="26" t="n">
        <v>379</v>
      </c>
      <c r="H29" s="15" t="n">
        <v>38.49</v>
      </c>
      <c r="I29" s="15" t="n">
        <v>9.85</v>
      </c>
      <c r="J29" s="16" t="n">
        <v>6.1</v>
      </c>
      <c r="K29" s="16" t="n">
        <v>234.79</v>
      </c>
      <c r="L29" s="16" t="n">
        <v>0.62</v>
      </c>
      <c r="M29" s="11" t="inlineStr">
        <is>
          <t>Diesel S10</t>
        </is>
      </c>
      <c r="N29" s="25" t="inlineStr">
        <is>
          <t>Posto Petrobras Centro Bagé</t>
        </is>
      </c>
      <c r="O29" s="11" t="inlineStr">
        <is>
          <t>Bagé</t>
        </is>
      </c>
      <c r="P29" s="25" t="inlineStr">
        <is>
          <t>Sd PM Oliveira</t>
        </is>
      </c>
      <c r="Q29" s="25" t="inlineStr"/>
    </row>
    <row r="30">
      <c r="A30" s="5" t="inlineStr">
        <is>
          <t>2026-09-03 10:53</t>
        </is>
      </c>
      <c r="B30" s="5" t="inlineStr">
        <is>
          <t>BM-13100</t>
        </is>
      </c>
      <c r="C30" s="5" t="inlineStr">
        <is>
          <t>JBG9A87</t>
        </is>
      </c>
      <c r="D30" s="22" t="inlineStr">
        <is>
          <t>Toyota Hilux 4x4</t>
        </is>
      </c>
      <c r="E30" s="23" t="n">
        <v>70154</v>
      </c>
      <c r="F30" s="23" t="n">
        <v>69690</v>
      </c>
      <c r="G30" s="23" t="n">
        <v>464</v>
      </c>
      <c r="H30" s="9" t="n">
        <v>48.6</v>
      </c>
      <c r="I30" s="9" t="n">
        <v>9.550000000000001</v>
      </c>
      <c r="J30" s="10" t="n">
        <v>6.22</v>
      </c>
      <c r="K30" s="10" t="n">
        <v>302.29</v>
      </c>
      <c r="L30" s="10" t="n">
        <v>0.65</v>
      </c>
      <c r="M30" s="5" t="inlineStr">
        <is>
          <t>Diesel S10</t>
        </is>
      </c>
      <c r="N30" s="22" t="inlineStr">
        <is>
          <t>Posto Petrobras Centro Bagé</t>
        </is>
      </c>
      <c r="O30" s="5" t="inlineStr">
        <is>
          <t>Bagé</t>
        </is>
      </c>
      <c r="P30" s="22" t="inlineStr">
        <is>
          <t>Sd PM Oliveira</t>
        </is>
      </c>
      <c r="Q30" s="22" t="inlineStr"/>
    </row>
    <row r="31">
      <c r="A31" s="11" t="inlineStr">
        <is>
          <t>2026-09-03 21:50</t>
        </is>
      </c>
      <c r="B31" s="11" t="inlineStr">
        <is>
          <t>BM-13100</t>
        </is>
      </c>
      <c r="C31" s="11" t="inlineStr">
        <is>
          <t>JBG9A87</t>
        </is>
      </c>
      <c r="D31" s="25" t="inlineStr">
        <is>
          <t>Toyota Hilux 4x4</t>
        </is>
      </c>
      <c r="E31" s="26" t="n">
        <v>70615</v>
      </c>
      <c r="F31" s="26" t="n">
        <v>70154</v>
      </c>
      <c r="G31" s="26" t="n">
        <v>461</v>
      </c>
      <c r="H31" s="15" t="n">
        <v>51.37</v>
      </c>
      <c r="I31" s="15" t="n">
        <v>8.970000000000001</v>
      </c>
      <c r="J31" s="16" t="n">
        <v>6.09</v>
      </c>
      <c r="K31" s="16" t="n">
        <v>312.84</v>
      </c>
      <c r="L31" s="16" t="n">
        <v>0.68</v>
      </c>
      <c r="M31" s="11" t="inlineStr">
        <is>
          <t>Diesel S10</t>
        </is>
      </c>
      <c r="N31" s="25" t="inlineStr">
        <is>
          <t>Posto Ipiranga Tiaraju (Bagé)</t>
        </is>
      </c>
      <c r="O31" s="11" t="inlineStr">
        <is>
          <t>Bagé</t>
        </is>
      </c>
      <c r="P31" s="25" t="inlineStr">
        <is>
          <t>Sd PM Santos</t>
        </is>
      </c>
      <c r="Q31" s="25" t="inlineStr"/>
    </row>
    <row r="32">
      <c r="A32" s="5" t="inlineStr">
        <is>
          <t>2026-09-05 00:53</t>
        </is>
      </c>
      <c r="B32" s="5" t="inlineStr">
        <is>
          <t>BM-13100</t>
        </is>
      </c>
      <c r="C32" s="5" t="inlineStr">
        <is>
          <t>JBG9A87</t>
        </is>
      </c>
      <c r="D32" s="22" t="inlineStr">
        <is>
          <t>Toyota Hilux 4x4</t>
        </is>
      </c>
      <c r="E32" s="23" t="n">
        <v>71008</v>
      </c>
      <c r="F32" s="23" t="n">
        <v>70615</v>
      </c>
      <c r="G32" s="23" t="n">
        <v>393</v>
      </c>
      <c r="H32" s="9" t="n">
        <v>41.65</v>
      </c>
      <c r="I32" s="9" t="n">
        <v>9.44</v>
      </c>
      <c r="J32" s="10" t="n">
        <v>5.95</v>
      </c>
      <c r="K32" s="10" t="n">
        <v>247.82</v>
      </c>
      <c r="L32" s="10" t="n">
        <v>0.63</v>
      </c>
      <c r="M32" s="5" t="inlineStr">
        <is>
          <t>Diesel S10</t>
        </is>
      </c>
      <c r="N32" s="22" t="inlineStr">
        <is>
          <t>Posto da Guarnição Militar Bagé</t>
        </is>
      </c>
      <c r="O32" s="5" t="inlineStr">
        <is>
          <t>Bagé</t>
        </is>
      </c>
      <c r="P32" s="22" t="inlineStr">
        <is>
          <t>Sd PM Souza</t>
        </is>
      </c>
      <c r="Q32" s="22" t="inlineStr"/>
    </row>
    <row r="33">
      <c r="A33" s="11" t="inlineStr">
        <is>
          <t>2026-09-09 02:13</t>
        </is>
      </c>
      <c r="B33" s="11" t="inlineStr">
        <is>
          <t>BM-13100</t>
        </is>
      </c>
      <c r="C33" s="11" t="inlineStr">
        <is>
          <t>JBG9A87</t>
        </is>
      </c>
      <c r="D33" s="25" t="inlineStr">
        <is>
          <t>Toyota Hilux 4x4</t>
        </is>
      </c>
      <c r="E33" s="26" t="n">
        <v>71467</v>
      </c>
      <c r="F33" s="26" t="n">
        <v>71008</v>
      </c>
      <c r="G33" s="26" t="n">
        <v>459</v>
      </c>
      <c r="H33" s="15" t="n">
        <v>46.65</v>
      </c>
      <c r="I33" s="15" t="n">
        <v>9.84</v>
      </c>
      <c r="J33" s="16" t="n">
        <v>6.19</v>
      </c>
      <c r="K33" s="16" t="n">
        <v>288.76</v>
      </c>
      <c r="L33" s="16" t="n">
        <v>0.63</v>
      </c>
      <c r="M33" s="11" t="inlineStr">
        <is>
          <t>Diesel S10</t>
        </is>
      </c>
      <c r="N33" s="25" t="inlineStr">
        <is>
          <t>Posto Petrobras Centro Bagé</t>
        </is>
      </c>
      <c r="O33" s="11" t="inlineStr">
        <is>
          <t>Bagé</t>
        </is>
      </c>
      <c r="P33" s="25" t="inlineStr">
        <is>
          <t>Sd PM Silva</t>
        </is>
      </c>
      <c r="Q33" s="25" t="inlineStr"/>
    </row>
    <row r="34">
      <c r="A34" s="5" t="inlineStr">
        <is>
          <t>2026-09-11 23:06</t>
        </is>
      </c>
      <c r="B34" s="5" t="inlineStr">
        <is>
          <t>BM-13100</t>
        </is>
      </c>
      <c r="C34" s="5" t="inlineStr">
        <is>
          <t>JBG9A87</t>
        </is>
      </c>
      <c r="D34" s="22" t="inlineStr">
        <is>
          <t>Toyota Hilux 4x4</t>
        </is>
      </c>
      <c r="E34" s="23" t="n">
        <v>71772</v>
      </c>
      <c r="F34" s="23" t="n">
        <v>71467</v>
      </c>
      <c r="G34" s="23" t="n">
        <v>305</v>
      </c>
      <c r="H34" s="9" t="n">
        <v>32.94</v>
      </c>
      <c r="I34" s="9" t="n">
        <v>9.26</v>
      </c>
      <c r="J34" s="10" t="n">
        <v>6.1</v>
      </c>
      <c r="K34" s="10" t="n">
        <v>200.93</v>
      </c>
      <c r="L34" s="10" t="n">
        <v>0.66</v>
      </c>
      <c r="M34" s="5" t="inlineStr">
        <is>
          <t>Diesel S10</t>
        </is>
      </c>
      <c r="N34" s="22" t="inlineStr">
        <is>
          <t>Auto Posto Shell Santa Tecla (Bagé)</t>
        </is>
      </c>
      <c r="O34" s="5" t="inlineStr">
        <is>
          <t>Bagé</t>
        </is>
      </c>
      <c r="P34" s="22" t="inlineStr">
        <is>
          <t>Sd PM Santos</t>
        </is>
      </c>
      <c r="Q34" s="22" t="inlineStr"/>
    </row>
    <row r="35">
      <c r="A35" s="11" t="inlineStr">
        <is>
          <t>2026-09-13 03:21</t>
        </is>
      </c>
      <c r="B35" s="11" t="inlineStr">
        <is>
          <t>BM-13100</t>
        </is>
      </c>
      <c r="C35" s="11" t="inlineStr">
        <is>
          <t>JBG9A87</t>
        </is>
      </c>
      <c r="D35" s="25" t="inlineStr">
        <is>
          <t>Toyota Hilux 4x4</t>
        </is>
      </c>
      <c r="E35" s="26" t="n">
        <v>72070</v>
      </c>
      <c r="F35" s="26" t="n">
        <v>71772</v>
      </c>
      <c r="G35" s="26" t="n">
        <v>298</v>
      </c>
      <c r="H35" s="15" t="n">
        <v>33.67</v>
      </c>
      <c r="I35" s="15" t="n">
        <v>8.85</v>
      </c>
      <c r="J35" s="16" t="n">
        <v>6.16</v>
      </c>
      <c r="K35" s="16" t="n">
        <v>207.41</v>
      </c>
      <c r="L35" s="16" t="n">
        <v>0.7</v>
      </c>
      <c r="M35" s="11" t="inlineStr">
        <is>
          <t>Diesel S10</t>
        </is>
      </c>
      <c r="N35" s="25" t="inlineStr">
        <is>
          <t>Posto da Guarnição Militar Bagé</t>
        </is>
      </c>
      <c r="O35" s="11" t="inlineStr">
        <is>
          <t>Bagé</t>
        </is>
      </c>
      <c r="P35" s="25" t="inlineStr">
        <is>
          <t>Sd PM Pereira</t>
        </is>
      </c>
      <c r="Q35" s="25" t="inlineStr"/>
    </row>
    <row r="36">
      <c r="A36" s="5" t="inlineStr">
        <is>
          <t>2026-09-14 03:34</t>
        </is>
      </c>
      <c r="B36" s="5" t="inlineStr">
        <is>
          <t>BM-13100</t>
        </is>
      </c>
      <c r="C36" s="5" t="inlineStr">
        <is>
          <t>JBG9A87</t>
        </is>
      </c>
      <c r="D36" s="22" t="inlineStr">
        <is>
          <t>Toyota Hilux 4x4</t>
        </is>
      </c>
      <c r="E36" s="23" t="n">
        <v>72411</v>
      </c>
      <c r="F36" s="23" t="n">
        <v>72070</v>
      </c>
      <c r="G36" s="23" t="n">
        <v>341</v>
      </c>
      <c r="H36" s="9" t="n">
        <v>36.73</v>
      </c>
      <c r="I36" s="9" t="n">
        <v>9.279999999999999</v>
      </c>
      <c r="J36" s="10" t="n">
        <v>5.99</v>
      </c>
      <c r="K36" s="10" t="n">
        <v>220.01</v>
      </c>
      <c r="L36" s="10" t="n">
        <v>0.65</v>
      </c>
      <c r="M36" s="5" t="inlineStr">
        <is>
          <t>Diesel S10</t>
        </is>
      </c>
      <c r="N36" s="22" t="inlineStr">
        <is>
          <t>Posto Ipiranga Tiaraju (Bagé)</t>
        </is>
      </c>
      <c r="O36" s="5" t="inlineStr">
        <is>
          <t>Bagé</t>
        </is>
      </c>
      <c r="P36" s="22" t="inlineStr">
        <is>
          <t>Sd PM Santos</t>
        </is>
      </c>
      <c r="Q36" s="22" t="inlineStr"/>
    </row>
    <row r="37">
      <c r="A37" s="11" t="inlineStr">
        <is>
          <t>2026-09-15 11:15</t>
        </is>
      </c>
      <c r="B37" s="11" t="inlineStr">
        <is>
          <t>BM-13100</t>
        </is>
      </c>
      <c r="C37" s="11" t="inlineStr">
        <is>
          <t>JBG9A87</t>
        </is>
      </c>
      <c r="D37" s="25" t="inlineStr">
        <is>
          <t>Toyota Hilux 4x4</t>
        </is>
      </c>
      <c r="E37" s="26" t="n">
        <v>72820</v>
      </c>
      <c r="F37" s="26" t="n">
        <v>72411</v>
      </c>
      <c r="G37" s="26" t="n">
        <v>409</v>
      </c>
      <c r="H37" s="15" t="n">
        <v>41.12</v>
      </c>
      <c r="I37" s="15" t="n">
        <v>9.949999999999999</v>
      </c>
      <c r="J37" s="16" t="n">
        <v>6.22</v>
      </c>
      <c r="K37" s="16" t="n">
        <v>255.77</v>
      </c>
      <c r="L37" s="16" t="n">
        <v>0.63</v>
      </c>
      <c r="M37" s="11" t="inlineStr">
        <is>
          <t>Diesel S10</t>
        </is>
      </c>
      <c r="N37" s="25" t="inlineStr">
        <is>
          <t>Posto Ipiranga Tiaraju (Bagé)</t>
        </is>
      </c>
      <c r="O37" s="11" t="inlineStr">
        <is>
          <t>Bagé</t>
        </is>
      </c>
      <c r="P37" s="25" t="inlineStr">
        <is>
          <t>Sd PM Rodrigues</t>
        </is>
      </c>
      <c r="Q37" s="25" t="inlineStr"/>
    </row>
    <row r="38">
      <c r="A38" s="5" t="inlineStr">
        <is>
          <t>2026-09-18 11:24</t>
        </is>
      </c>
      <c r="B38" s="5" t="inlineStr">
        <is>
          <t>BM-13100</t>
        </is>
      </c>
      <c r="C38" s="5" t="inlineStr">
        <is>
          <t>JBG9A87</t>
        </is>
      </c>
      <c r="D38" s="22" t="inlineStr">
        <is>
          <t>Toyota Hilux 4x4</t>
        </is>
      </c>
      <c r="E38" s="23" t="n">
        <v>73245</v>
      </c>
      <c r="F38" s="23" t="n">
        <v>72820</v>
      </c>
      <c r="G38" s="23" t="n">
        <v>425</v>
      </c>
      <c r="H38" s="9" t="n">
        <v>47.59</v>
      </c>
      <c r="I38" s="9" t="n">
        <v>8.93</v>
      </c>
      <c r="J38" s="10" t="n">
        <v>6.2</v>
      </c>
      <c r="K38" s="10" t="n">
        <v>295.06</v>
      </c>
      <c r="L38" s="10" t="n">
        <v>0.6899999999999999</v>
      </c>
      <c r="M38" s="5" t="inlineStr">
        <is>
          <t>Diesel S10</t>
        </is>
      </c>
      <c r="N38" s="22" t="inlineStr">
        <is>
          <t>Posto Ipiranga Tiaraju (Bagé)</t>
        </is>
      </c>
      <c r="O38" s="5" t="inlineStr">
        <is>
          <t>Bagé</t>
        </is>
      </c>
      <c r="P38" s="22" t="inlineStr">
        <is>
          <t>Sd PM Ferreira</t>
        </is>
      </c>
      <c r="Q38" s="22" t="inlineStr"/>
    </row>
    <row r="39">
      <c r="A39" s="11" t="inlineStr">
        <is>
          <t>2026-09-18 23:06</t>
        </is>
      </c>
      <c r="B39" s="11" t="inlineStr">
        <is>
          <t>BM-13100</t>
        </is>
      </c>
      <c r="C39" s="11" t="inlineStr">
        <is>
          <t>JBG9A87</t>
        </is>
      </c>
      <c r="D39" s="25" t="inlineStr">
        <is>
          <t>Toyota Hilux 4x4</t>
        </is>
      </c>
      <c r="E39" s="26" t="n">
        <v>73597</v>
      </c>
      <c r="F39" s="26" t="n">
        <v>73245</v>
      </c>
      <c r="G39" s="26" t="n">
        <v>352</v>
      </c>
      <c r="H39" s="15" t="n">
        <v>36.84</v>
      </c>
      <c r="I39" s="15" t="n">
        <v>9.550000000000001</v>
      </c>
      <c r="J39" s="16" t="n">
        <v>6.14</v>
      </c>
      <c r="K39" s="16" t="n">
        <v>226.2</v>
      </c>
      <c r="L39" s="16" t="n">
        <v>0.64</v>
      </c>
      <c r="M39" s="11" t="inlineStr">
        <is>
          <t>Diesel S10</t>
        </is>
      </c>
      <c r="N39" s="25" t="inlineStr">
        <is>
          <t>Posto Ipiranga Tiaraju (Bagé)</t>
        </is>
      </c>
      <c r="O39" s="11" t="inlineStr">
        <is>
          <t>Bagé</t>
        </is>
      </c>
      <c r="P39" s="25" t="inlineStr">
        <is>
          <t>Sd PM Ferreira</t>
        </is>
      </c>
      <c r="Q39" s="25" t="inlineStr"/>
    </row>
    <row r="40">
      <c r="A40" s="5" t="inlineStr">
        <is>
          <t>2026-09-22 08:12</t>
        </is>
      </c>
      <c r="B40" s="5" t="inlineStr">
        <is>
          <t>BM-13100</t>
        </is>
      </c>
      <c r="C40" s="5" t="inlineStr">
        <is>
          <t>JBG9A87</t>
        </is>
      </c>
      <c r="D40" s="22" t="inlineStr">
        <is>
          <t>Toyota Hilux 4x4</t>
        </is>
      </c>
      <c r="E40" s="23" t="n">
        <v>74057</v>
      </c>
      <c r="F40" s="23" t="n">
        <v>73597</v>
      </c>
      <c r="G40" s="23" t="n">
        <v>460</v>
      </c>
      <c r="H40" s="9" t="n">
        <v>47.02</v>
      </c>
      <c r="I40" s="9" t="n">
        <v>9.779999999999999</v>
      </c>
      <c r="J40" s="10" t="n">
        <v>5.96</v>
      </c>
      <c r="K40" s="10" t="n">
        <v>280.24</v>
      </c>
      <c r="L40" s="10" t="n">
        <v>0.61</v>
      </c>
      <c r="M40" s="5" t="inlineStr">
        <is>
          <t>Diesel S10</t>
        </is>
      </c>
      <c r="N40" s="22" t="inlineStr">
        <is>
          <t>Posto Ipiranga Tiaraju (Bagé)</t>
        </is>
      </c>
      <c r="O40" s="5" t="inlineStr">
        <is>
          <t>Bagé</t>
        </is>
      </c>
      <c r="P40" s="22" t="inlineStr">
        <is>
          <t>Sd PM Oliveira</t>
        </is>
      </c>
      <c r="Q40" s="22" t="inlineStr"/>
    </row>
    <row r="41">
      <c r="A41" s="11" t="inlineStr">
        <is>
          <t>2026-08-20 02:11</t>
        </is>
      </c>
      <c r="B41" s="11" t="inlineStr">
        <is>
          <t>BM-13105</t>
        </is>
      </c>
      <c r="C41" s="11" t="inlineStr">
        <is>
          <t>JBG9A90</t>
        </is>
      </c>
      <c r="D41" s="25" t="inlineStr">
        <is>
          <t>Toyota Hilux 4x4</t>
        </is>
      </c>
      <c r="E41" s="26" t="n">
        <v>79437</v>
      </c>
      <c r="F41" s="27" t="inlineStr">
        <is>
          <t>-</t>
        </is>
      </c>
      <c r="G41" s="26" t="n">
        <v>0</v>
      </c>
      <c r="H41" s="15" t="n">
        <v>34.69</v>
      </c>
      <c r="I41" s="15" t="n">
        <v>0</v>
      </c>
      <c r="J41" s="16" t="n">
        <v>5.97</v>
      </c>
      <c r="K41" s="16" t="n">
        <v>207.1</v>
      </c>
      <c r="L41" s="16" t="n">
        <v>0</v>
      </c>
      <c r="M41" s="11" t="inlineStr">
        <is>
          <t>Diesel S10</t>
        </is>
      </c>
      <c r="N41" s="25" t="inlineStr">
        <is>
          <t>Auto Posto Shell Santa Tecla (Bagé)</t>
        </is>
      </c>
      <c r="O41" s="11" t="inlineStr">
        <is>
          <t>Bagé</t>
        </is>
      </c>
      <c r="P41" s="25" t="inlineStr">
        <is>
          <t>Sd PM Silva</t>
        </is>
      </c>
      <c r="Q41" s="25" t="inlineStr">
        <is>
          <t>Primeiro registro do período (sem odômetro anterior para cálculo)</t>
        </is>
      </c>
    </row>
    <row r="42">
      <c r="A42" s="5" t="inlineStr">
        <is>
          <t>2026-08-21 10:45</t>
        </is>
      </c>
      <c r="B42" s="5" t="inlineStr">
        <is>
          <t>BM-13105</t>
        </is>
      </c>
      <c r="C42" s="5" t="inlineStr">
        <is>
          <t>JBG9A90</t>
        </is>
      </c>
      <c r="D42" s="22" t="inlineStr">
        <is>
          <t>Toyota Hilux 4x4</t>
        </is>
      </c>
      <c r="E42" s="23" t="n">
        <v>79883</v>
      </c>
      <c r="F42" s="23" t="n">
        <v>79437</v>
      </c>
      <c r="G42" s="23" t="n">
        <v>446</v>
      </c>
      <c r="H42" s="9" t="n">
        <v>51.91</v>
      </c>
      <c r="I42" s="9" t="n">
        <v>8.59</v>
      </c>
      <c r="J42" s="10" t="n">
        <v>6.24</v>
      </c>
      <c r="K42" s="10" t="n">
        <v>323.92</v>
      </c>
      <c r="L42" s="10" t="n">
        <v>0.73</v>
      </c>
      <c r="M42" s="5" t="inlineStr">
        <is>
          <t>Diesel S10</t>
        </is>
      </c>
      <c r="N42" s="22" t="inlineStr">
        <is>
          <t>Posto da Guarnição Militar Bagé</t>
        </is>
      </c>
      <c r="O42" s="5" t="inlineStr">
        <is>
          <t>Bagé</t>
        </is>
      </c>
      <c r="P42" s="22" t="inlineStr">
        <is>
          <t>Sd PM Pereira</t>
        </is>
      </c>
      <c r="Q42" s="22" t="inlineStr"/>
    </row>
    <row r="43">
      <c r="A43" s="11" t="inlineStr">
        <is>
          <t>2026-08-26 08:03</t>
        </is>
      </c>
      <c r="B43" s="11" t="inlineStr">
        <is>
          <t>BM-13105</t>
        </is>
      </c>
      <c r="C43" s="11" t="inlineStr">
        <is>
          <t>JBG9A90</t>
        </is>
      </c>
      <c r="D43" s="25" t="inlineStr">
        <is>
          <t>Toyota Hilux 4x4</t>
        </is>
      </c>
      <c r="E43" s="26" t="n">
        <v>80268</v>
      </c>
      <c r="F43" s="26" t="n">
        <v>79883</v>
      </c>
      <c r="G43" s="26" t="n">
        <v>385</v>
      </c>
      <c r="H43" s="15" t="n">
        <v>41.9</v>
      </c>
      <c r="I43" s="15" t="n">
        <v>9.19</v>
      </c>
      <c r="J43" s="16" t="n">
        <v>6.09</v>
      </c>
      <c r="K43" s="16" t="n">
        <v>255.17</v>
      </c>
      <c r="L43" s="16" t="n">
        <v>0.66</v>
      </c>
      <c r="M43" s="11" t="inlineStr">
        <is>
          <t>Diesel S10</t>
        </is>
      </c>
      <c r="N43" s="25" t="inlineStr">
        <is>
          <t>Posto Ipiranga Tiaraju (Bagé)</t>
        </is>
      </c>
      <c r="O43" s="11" t="inlineStr">
        <is>
          <t>Bagé</t>
        </is>
      </c>
      <c r="P43" s="25" t="inlineStr">
        <is>
          <t>Sd PM Santos</t>
        </is>
      </c>
      <c r="Q43" s="25" t="inlineStr"/>
    </row>
    <row r="44">
      <c r="A44" s="5" t="inlineStr">
        <is>
          <t>2026-08-27 05:19</t>
        </is>
      </c>
      <c r="B44" s="5" t="inlineStr">
        <is>
          <t>BM-13105</t>
        </is>
      </c>
      <c r="C44" s="5" t="inlineStr">
        <is>
          <t>JBG9A90</t>
        </is>
      </c>
      <c r="D44" s="22" t="inlineStr">
        <is>
          <t>Toyota Hilux 4x4</t>
        </is>
      </c>
      <c r="E44" s="23" t="n">
        <v>80653</v>
      </c>
      <c r="F44" s="23" t="n">
        <v>80268</v>
      </c>
      <c r="G44" s="23" t="n">
        <v>385</v>
      </c>
      <c r="H44" s="9" t="n">
        <v>39.76</v>
      </c>
      <c r="I44" s="9" t="n">
        <v>9.68</v>
      </c>
      <c r="J44" s="10" t="n">
        <v>6.03</v>
      </c>
      <c r="K44" s="10" t="n">
        <v>239.75</v>
      </c>
      <c r="L44" s="10" t="n">
        <v>0.62</v>
      </c>
      <c r="M44" s="5" t="inlineStr">
        <is>
          <t>Diesel S10</t>
        </is>
      </c>
      <c r="N44" s="22" t="inlineStr">
        <is>
          <t>Posto Ipiranga Tiaraju (Bagé)</t>
        </is>
      </c>
      <c r="O44" s="5" t="inlineStr">
        <is>
          <t>Bagé</t>
        </is>
      </c>
      <c r="P44" s="22" t="inlineStr">
        <is>
          <t>Sd PM Rodrigues</t>
        </is>
      </c>
      <c r="Q44" s="22" t="inlineStr"/>
    </row>
    <row r="45">
      <c r="A45" s="11" t="inlineStr">
        <is>
          <t>2026-08-30 11:50</t>
        </is>
      </c>
      <c r="B45" s="11" t="inlineStr">
        <is>
          <t>BM-13105</t>
        </is>
      </c>
      <c r="C45" s="11" t="inlineStr">
        <is>
          <t>JBG9A90</t>
        </is>
      </c>
      <c r="D45" s="25" t="inlineStr">
        <is>
          <t>Toyota Hilux 4x4</t>
        </is>
      </c>
      <c r="E45" s="26" t="n">
        <v>81017</v>
      </c>
      <c r="F45" s="26" t="n">
        <v>80653</v>
      </c>
      <c r="G45" s="26" t="n">
        <v>364</v>
      </c>
      <c r="H45" s="15" t="n">
        <v>40.94</v>
      </c>
      <c r="I45" s="15" t="n">
        <v>8.890000000000001</v>
      </c>
      <c r="J45" s="16" t="n">
        <v>6.06</v>
      </c>
      <c r="K45" s="16" t="n">
        <v>248.1</v>
      </c>
      <c r="L45" s="16" t="n">
        <v>0.68</v>
      </c>
      <c r="M45" s="11" t="inlineStr">
        <is>
          <t>Diesel S10</t>
        </is>
      </c>
      <c r="N45" s="25" t="inlineStr">
        <is>
          <t>Posto Ipiranga Tiaraju (Bagé)</t>
        </is>
      </c>
      <c r="O45" s="11" t="inlineStr">
        <is>
          <t>Bagé</t>
        </is>
      </c>
      <c r="P45" s="25" t="inlineStr">
        <is>
          <t>Sd PM Pereira</t>
        </is>
      </c>
      <c r="Q45" s="25" t="inlineStr"/>
    </row>
    <row r="46">
      <c r="A46" s="5" t="inlineStr">
        <is>
          <t>2026-09-01 09:15</t>
        </is>
      </c>
      <c r="B46" s="5" t="inlineStr">
        <is>
          <t>BM-13105</t>
        </is>
      </c>
      <c r="C46" s="5" t="inlineStr">
        <is>
          <t>JBG9A90</t>
        </is>
      </c>
      <c r="D46" s="22" t="inlineStr">
        <is>
          <t>Toyota Hilux 4x4</t>
        </is>
      </c>
      <c r="E46" s="23" t="n">
        <v>81308</v>
      </c>
      <c r="F46" s="23" t="n">
        <v>81017</v>
      </c>
      <c r="G46" s="23" t="n">
        <v>291</v>
      </c>
      <c r="H46" s="9" t="n">
        <v>33.36</v>
      </c>
      <c r="I46" s="9" t="n">
        <v>8.720000000000001</v>
      </c>
      <c r="J46" s="10" t="n">
        <v>6.09</v>
      </c>
      <c r="K46" s="10" t="n">
        <v>203.16</v>
      </c>
      <c r="L46" s="10" t="n">
        <v>0.7</v>
      </c>
      <c r="M46" s="5" t="inlineStr">
        <is>
          <t>Diesel S10</t>
        </is>
      </c>
      <c r="N46" s="22" t="inlineStr">
        <is>
          <t>Posto Petrobras Centro Bagé</t>
        </is>
      </c>
      <c r="O46" s="5" t="inlineStr">
        <is>
          <t>Bagé</t>
        </is>
      </c>
      <c r="P46" s="22" t="inlineStr">
        <is>
          <t>Sd PM Rodrigues</t>
        </is>
      </c>
      <c r="Q46" s="22" t="inlineStr"/>
    </row>
    <row r="47">
      <c r="A47" s="11" t="inlineStr">
        <is>
          <t>2026-09-03 10:53</t>
        </is>
      </c>
      <c r="B47" s="11" t="inlineStr">
        <is>
          <t>BM-13105</t>
        </is>
      </c>
      <c r="C47" s="11" t="inlineStr">
        <is>
          <t>JBG9A90</t>
        </is>
      </c>
      <c r="D47" s="25" t="inlineStr">
        <is>
          <t>Toyota Hilux 4x4</t>
        </is>
      </c>
      <c r="E47" s="26" t="n">
        <v>81743</v>
      </c>
      <c r="F47" s="26" t="n">
        <v>81308</v>
      </c>
      <c r="G47" s="26" t="n">
        <v>435</v>
      </c>
      <c r="H47" s="15" t="n">
        <v>44.71</v>
      </c>
      <c r="I47" s="15" t="n">
        <v>9.73</v>
      </c>
      <c r="J47" s="16" t="n">
        <v>6.03</v>
      </c>
      <c r="K47" s="16" t="n">
        <v>269.6</v>
      </c>
      <c r="L47" s="16" t="n">
        <v>0.62</v>
      </c>
      <c r="M47" s="11" t="inlineStr">
        <is>
          <t>Diesel S10</t>
        </is>
      </c>
      <c r="N47" s="25" t="inlineStr">
        <is>
          <t>Posto Petrobras Centro Bagé</t>
        </is>
      </c>
      <c r="O47" s="11" t="inlineStr">
        <is>
          <t>Bagé</t>
        </is>
      </c>
      <c r="P47" s="25" t="inlineStr">
        <is>
          <t>Sd PM Rodrigues</t>
        </is>
      </c>
      <c r="Q47" s="25" t="inlineStr"/>
    </row>
    <row r="48">
      <c r="A48" s="5" t="inlineStr">
        <is>
          <t>2026-09-03 21:50</t>
        </is>
      </c>
      <c r="B48" s="5" t="inlineStr">
        <is>
          <t>BM-13105</t>
        </is>
      </c>
      <c r="C48" s="5" t="inlineStr">
        <is>
          <t>JBG9A90</t>
        </is>
      </c>
      <c r="D48" s="22" t="inlineStr">
        <is>
          <t>Toyota Hilux 4x4</t>
        </is>
      </c>
      <c r="E48" s="23" t="n">
        <v>82040</v>
      </c>
      <c r="F48" s="23" t="n">
        <v>81743</v>
      </c>
      <c r="G48" s="23" t="n">
        <v>297</v>
      </c>
      <c r="H48" s="9" t="n">
        <v>34.1</v>
      </c>
      <c r="I48" s="9" t="n">
        <v>8.710000000000001</v>
      </c>
      <c r="J48" s="10" t="n">
        <v>5.97</v>
      </c>
      <c r="K48" s="10" t="n">
        <v>203.58</v>
      </c>
      <c r="L48" s="10" t="n">
        <v>0.6899999999999999</v>
      </c>
      <c r="M48" s="5" t="inlineStr">
        <is>
          <t>Diesel S10</t>
        </is>
      </c>
      <c r="N48" s="22" t="inlineStr">
        <is>
          <t>Posto Petrobras Centro Bagé</t>
        </is>
      </c>
      <c r="O48" s="5" t="inlineStr">
        <is>
          <t>Bagé</t>
        </is>
      </c>
      <c r="P48" s="22" t="inlineStr">
        <is>
          <t>Sd PM Silva</t>
        </is>
      </c>
      <c r="Q48" s="22" t="inlineStr"/>
    </row>
    <row r="49">
      <c r="A49" s="11" t="inlineStr">
        <is>
          <t>2026-09-05 00:53</t>
        </is>
      </c>
      <c r="B49" s="11" t="inlineStr">
        <is>
          <t>BM-13105</t>
        </is>
      </c>
      <c r="C49" s="11" t="inlineStr">
        <is>
          <t>JBG9A90</t>
        </is>
      </c>
      <c r="D49" s="25" t="inlineStr">
        <is>
          <t>Toyota Hilux 4x4</t>
        </is>
      </c>
      <c r="E49" s="26" t="n">
        <v>82343</v>
      </c>
      <c r="F49" s="26" t="n">
        <v>82040</v>
      </c>
      <c r="G49" s="26" t="n">
        <v>303</v>
      </c>
      <c r="H49" s="15" t="n">
        <v>32.2</v>
      </c>
      <c r="I49" s="15" t="n">
        <v>9.41</v>
      </c>
      <c r="J49" s="16" t="n">
        <v>5.95</v>
      </c>
      <c r="K49" s="16" t="n">
        <v>191.59</v>
      </c>
      <c r="L49" s="16" t="n">
        <v>0.63</v>
      </c>
      <c r="M49" s="11" t="inlineStr">
        <is>
          <t>Diesel S10</t>
        </is>
      </c>
      <c r="N49" s="25" t="inlineStr">
        <is>
          <t>Posto Petrobras Centro Bagé</t>
        </is>
      </c>
      <c r="O49" s="11" t="inlineStr">
        <is>
          <t>Bagé</t>
        </is>
      </c>
      <c r="P49" s="25" t="inlineStr">
        <is>
          <t>Sd PM Rodrigues</t>
        </is>
      </c>
      <c r="Q49" s="25" t="inlineStr"/>
    </row>
    <row r="50">
      <c r="A50" s="5" t="inlineStr">
        <is>
          <t>2026-09-06 06:39</t>
        </is>
      </c>
      <c r="B50" s="5" t="inlineStr">
        <is>
          <t>BM-13105</t>
        </is>
      </c>
      <c r="C50" s="5" t="inlineStr">
        <is>
          <t>JBG9A90</t>
        </is>
      </c>
      <c r="D50" s="22" t="inlineStr">
        <is>
          <t>Toyota Hilux 4x4</t>
        </is>
      </c>
      <c r="E50" s="23" t="n">
        <v>82758</v>
      </c>
      <c r="F50" s="23" t="n">
        <v>82343</v>
      </c>
      <c r="G50" s="23" t="n">
        <v>415</v>
      </c>
      <c r="H50" s="9" t="n">
        <v>46.77</v>
      </c>
      <c r="I50" s="9" t="n">
        <v>8.869999999999999</v>
      </c>
      <c r="J50" s="10" t="n">
        <v>5.96</v>
      </c>
      <c r="K50" s="10" t="n">
        <v>278.75</v>
      </c>
      <c r="L50" s="10" t="n">
        <v>0.67</v>
      </c>
      <c r="M50" s="5" t="inlineStr">
        <is>
          <t>Diesel S10</t>
        </is>
      </c>
      <c r="N50" s="22" t="inlineStr">
        <is>
          <t>Auto Posto Shell Santa Tecla (Bagé)</t>
        </is>
      </c>
      <c r="O50" s="5" t="inlineStr">
        <is>
          <t>Bagé</t>
        </is>
      </c>
      <c r="P50" s="22" t="inlineStr">
        <is>
          <t>Sd PM Pereira</t>
        </is>
      </c>
      <c r="Q50" s="22" t="inlineStr"/>
    </row>
    <row r="51">
      <c r="A51" s="11" t="inlineStr">
        <is>
          <t>2026-09-07 14:32</t>
        </is>
      </c>
      <c r="B51" s="11" t="inlineStr">
        <is>
          <t>BM-13105</t>
        </is>
      </c>
      <c r="C51" s="11" t="inlineStr">
        <is>
          <t>JBG9A90</t>
        </is>
      </c>
      <c r="D51" s="25" t="inlineStr">
        <is>
          <t>Toyota Hilux 4x4</t>
        </is>
      </c>
      <c r="E51" s="26" t="n">
        <v>83154</v>
      </c>
      <c r="F51" s="26" t="n">
        <v>82758</v>
      </c>
      <c r="G51" s="26" t="n">
        <v>396</v>
      </c>
      <c r="H51" s="15" t="n">
        <v>45.28</v>
      </c>
      <c r="I51" s="15" t="n">
        <v>8.75</v>
      </c>
      <c r="J51" s="16" t="n">
        <v>6.17</v>
      </c>
      <c r="K51" s="16" t="n">
        <v>279.38</v>
      </c>
      <c r="L51" s="16" t="n">
        <v>0.71</v>
      </c>
      <c r="M51" s="11" t="inlineStr">
        <is>
          <t>Diesel S10</t>
        </is>
      </c>
      <c r="N51" s="25" t="inlineStr">
        <is>
          <t>Posto Ipiranga Tiaraju (Bagé)</t>
        </is>
      </c>
      <c r="O51" s="11" t="inlineStr">
        <is>
          <t>Bagé</t>
        </is>
      </c>
      <c r="P51" s="25" t="inlineStr">
        <is>
          <t>Sd PM Ferreira</t>
        </is>
      </c>
      <c r="Q51" s="25" t="inlineStr"/>
    </row>
    <row r="52">
      <c r="A52" s="5" t="inlineStr">
        <is>
          <t>2026-09-09 02:13</t>
        </is>
      </c>
      <c r="B52" s="5" t="inlineStr">
        <is>
          <t>BM-13105</t>
        </is>
      </c>
      <c r="C52" s="5" t="inlineStr">
        <is>
          <t>JBG9A90</t>
        </is>
      </c>
      <c r="D52" s="22" t="inlineStr">
        <is>
          <t>Toyota Hilux 4x4</t>
        </is>
      </c>
      <c r="E52" s="23" t="n">
        <v>83614</v>
      </c>
      <c r="F52" s="23" t="n">
        <v>83154</v>
      </c>
      <c r="G52" s="23" t="n">
        <v>460</v>
      </c>
      <c r="H52" s="9" t="n">
        <v>48.07</v>
      </c>
      <c r="I52" s="9" t="n">
        <v>9.57</v>
      </c>
      <c r="J52" s="10" t="n">
        <v>6.01</v>
      </c>
      <c r="K52" s="10" t="n">
        <v>288.9</v>
      </c>
      <c r="L52" s="10" t="n">
        <v>0.63</v>
      </c>
      <c r="M52" s="5" t="inlineStr">
        <is>
          <t>Diesel S10</t>
        </is>
      </c>
      <c r="N52" s="22" t="inlineStr">
        <is>
          <t>Auto Posto Shell Santa Tecla (Bagé)</t>
        </is>
      </c>
      <c r="O52" s="5" t="inlineStr">
        <is>
          <t>Bagé</t>
        </is>
      </c>
      <c r="P52" s="22" t="inlineStr">
        <is>
          <t>Sd PM Souza</t>
        </is>
      </c>
      <c r="Q52" s="22" t="inlineStr"/>
    </row>
    <row r="53">
      <c r="A53" s="11" t="inlineStr">
        <is>
          <t>2026-09-10 05:14</t>
        </is>
      </c>
      <c r="B53" s="11" t="inlineStr">
        <is>
          <t>BM-13105</t>
        </is>
      </c>
      <c r="C53" s="11" t="inlineStr">
        <is>
          <t>JBG9A90</t>
        </is>
      </c>
      <c r="D53" s="25" t="inlineStr">
        <is>
          <t>Toyota Hilux 4x4</t>
        </is>
      </c>
      <c r="E53" s="26" t="n">
        <v>83973</v>
      </c>
      <c r="F53" s="26" t="n">
        <v>83614</v>
      </c>
      <c r="G53" s="26" t="n">
        <v>359</v>
      </c>
      <c r="H53" s="15" t="n">
        <v>37.45</v>
      </c>
      <c r="I53" s="15" t="n">
        <v>9.59</v>
      </c>
      <c r="J53" s="16" t="n">
        <v>5.99</v>
      </c>
      <c r="K53" s="16" t="n">
        <v>224.33</v>
      </c>
      <c r="L53" s="16" t="n">
        <v>0.62</v>
      </c>
      <c r="M53" s="11" t="inlineStr">
        <is>
          <t>Diesel S10</t>
        </is>
      </c>
      <c r="N53" s="25" t="inlineStr">
        <is>
          <t>Posto da Guarnição Militar Bagé</t>
        </is>
      </c>
      <c r="O53" s="11" t="inlineStr">
        <is>
          <t>Bagé</t>
        </is>
      </c>
      <c r="P53" s="25" t="inlineStr">
        <is>
          <t>Sd PM Santos</t>
        </is>
      </c>
      <c r="Q53" s="25" t="inlineStr"/>
    </row>
    <row r="54">
      <c r="A54" s="5" t="inlineStr">
        <is>
          <t>2026-09-11 23:06</t>
        </is>
      </c>
      <c r="B54" s="5" t="inlineStr">
        <is>
          <t>BM-13105</t>
        </is>
      </c>
      <c r="C54" s="5" t="inlineStr">
        <is>
          <t>JBG9A90</t>
        </is>
      </c>
      <c r="D54" s="22" t="inlineStr">
        <is>
          <t>Toyota Hilux 4x4</t>
        </is>
      </c>
      <c r="E54" s="23" t="n">
        <v>84295</v>
      </c>
      <c r="F54" s="23" t="n">
        <v>83973</v>
      </c>
      <c r="G54" s="23" t="n">
        <v>322</v>
      </c>
      <c r="H54" s="9" t="n">
        <v>33.72</v>
      </c>
      <c r="I54" s="9" t="n">
        <v>9.550000000000001</v>
      </c>
      <c r="J54" s="10" t="n">
        <v>6.04</v>
      </c>
      <c r="K54" s="10" t="n">
        <v>203.67</v>
      </c>
      <c r="L54" s="10" t="n">
        <v>0.63</v>
      </c>
      <c r="M54" s="5" t="inlineStr">
        <is>
          <t>Diesel S10</t>
        </is>
      </c>
      <c r="N54" s="22" t="inlineStr">
        <is>
          <t>Auto Posto Shell Santa Tecla (Bagé)</t>
        </is>
      </c>
      <c r="O54" s="5" t="inlineStr">
        <is>
          <t>Bagé</t>
        </is>
      </c>
      <c r="P54" s="22" t="inlineStr">
        <is>
          <t>Sd PM Pereira</t>
        </is>
      </c>
      <c r="Q54" s="22" t="inlineStr"/>
    </row>
    <row r="55">
      <c r="A55" s="11" t="inlineStr">
        <is>
          <t>2026-09-15 11:15</t>
        </is>
      </c>
      <c r="B55" s="11" t="inlineStr">
        <is>
          <t>BM-13105</t>
        </is>
      </c>
      <c r="C55" s="11" t="inlineStr">
        <is>
          <t>JBG9A90</t>
        </is>
      </c>
      <c r="D55" s="25" t="inlineStr">
        <is>
          <t>Toyota Hilux 4x4</t>
        </is>
      </c>
      <c r="E55" s="26" t="n">
        <v>84614</v>
      </c>
      <c r="F55" s="26" t="n">
        <v>84295</v>
      </c>
      <c r="G55" s="26" t="n">
        <v>319</v>
      </c>
      <c r="H55" s="15" t="n">
        <v>36.44</v>
      </c>
      <c r="I55" s="15" t="n">
        <v>8.75</v>
      </c>
      <c r="J55" s="16" t="n">
        <v>6.01</v>
      </c>
      <c r="K55" s="16" t="n">
        <v>219</v>
      </c>
      <c r="L55" s="16" t="n">
        <v>0.6899999999999999</v>
      </c>
      <c r="M55" s="11" t="inlineStr">
        <is>
          <t>Diesel S10</t>
        </is>
      </c>
      <c r="N55" s="25" t="inlineStr">
        <is>
          <t>Posto Ipiranga Tiaraju (Bagé)</t>
        </is>
      </c>
      <c r="O55" s="11" t="inlineStr">
        <is>
          <t>Bagé</t>
        </is>
      </c>
      <c r="P55" s="25" t="inlineStr">
        <is>
          <t>Sd PM Oliveira</t>
        </is>
      </c>
      <c r="Q55" s="25" t="inlineStr"/>
    </row>
    <row r="56">
      <c r="A56" s="5" t="inlineStr">
        <is>
          <t>2026-09-15 23:03</t>
        </is>
      </c>
      <c r="B56" s="5" t="inlineStr">
        <is>
          <t>BM-13105</t>
        </is>
      </c>
      <c r="C56" s="5" t="inlineStr">
        <is>
          <t>JBG9A90</t>
        </is>
      </c>
      <c r="D56" s="22" t="inlineStr">
        <is>
          <t>Toyota Hilux 4x4</t>
        </is>
      </c>
      <c r="E56" s="23" t="n">
        <v>84956</v>
      </c>
      <c r="F56" s="23" t="n">
        <v>84614</v>
      </c>
      <c r="G56" s="23" t="n">
        <v>342</v>
      </c>
      <c r="H56" s="9" t="n">
        <v>36.45</v>
      </c>
      <c r="I56" s="9" t="n">
        <v>9.380000000000001</v>
      </c>
      <c r="J56" s="10" t="n">
        <v>6.22</v>
      </c>
      <c r="K56" s="10" t="n">
        <v>226.72</v>
      </c>
      <c r="L56" s="10" t="n">
        <v>0.66</v>
      </c>
      <c r="M56" s="5" t="inlineStr">
        <is>
          <t>Diesel S10</t>
        </is>
      </c>
      <c r="N56" s="22" t="inlineStr">
        <is>
          <t>Auto Posto Shell Santa Tecla (Bagé)</t>
        </is>
      </c>
      <c r="O56" s="5" t="inlineStr">
        <is>
          <t>Bagé</t>
        </is>
      </c>
      <c r="P56" s="22" t="inlineStr">
        <is>
          <t>Sd PM Silva</t>
        </is>
      </c>
      <c r="Q56" s="22" t="inlineStr"/>
    </row>
    <row r="57">
      <c r="A57" s="11" t="inlineStr">
        <is>
          <t>2026-09-18 23:06</t>
        </is>
      </c>
      <c r="B57" s="11" t="inlineStr">
        <is>
          <t>BM-13105</t>
        </is>
      </c>
      <c r="C57" s="11" t="inlineStr">
        <is>
          <t>JBG9A90</t>
        </is>
      </c>
      <c r="D57" s="25" t="inlineStr">
        <is>
          <t>Toyota Hilux 4x4</t>
        </is>
      </c>
      <c r="E57" s="26" t="n">
        <v>85363</v>
      </c>
      <c r="F57" s="26" t="n">
        <v>84956</v>
      </c>
      <c r="G57" s="26" t="n">
        <v>407</v>
      </c>
      <c r="H57" s="15" t="n">
        <v>47.4</v>
      </c>
      <c r="I57" s="15" t="n">
        <v>8.59</v>
      </c>
      <c r="J57" s="16" t="n">
        <v>6.06</v>
      </c>
      <c r="K57" s="16" t="n">
        <v>287.24</v>
      </c>
      <c r="L57" s="16" t="n">
        <v>0.71</v>
      </c>
      <c r="M57" s="11" t="inlineStr">
        <is>
          <t>Diesel S10</t>
        </is>
      </c>
      <c r="N57" s="25" t="inlineStr">
        <is>
          <t>Posto da Guarnição Militar Bagé</t>
        </is>
      </c>
      <c r="O57" s="11" t="inlineStr">
        <is>
          <t>Bagé</t>
        </is>
      </c>
      <c r="P57" s="25" t="inlineStr">
        <is>
          <t>Sd PM Souza</t>
        </is>
      </c>
      <c r="Q57" s="25" t="inlineStr"/>
    </row>
    <row r="58">
      <c r="A58" s="5" t="inlineStr">
        <is>
          <t>2026-08-24 03:48</t>
        </is>
      </c>
      <c r="B58" s="5" t="inlineStr">
        <is>
          <t>BM-14200</t>
        </is>
      </c>
      <c r="C58" s="5" t="inlineStr">
        <is>
          <t>JCY4B11</t>
        </is>
      </c>
      <c r="D58" s="22" t="inlineStr">
        <is>
          <t>Toyota Corolla 2.0</t>
        </is>
      </c>
      <c r="E58" s="23" t="n">
        <v>31487</v>
      </c>
      <c r="F58" s="24" t="inlineStr">
        <is>
          <t>-</t>
        </is>
      </c>
      <c r="G58" s="23" t="n">
        <v>0</v>
      </c>
      <c r="H58" s="9" t="n">
        <v>46.03</v>
      </c>
      <c r="I58" s="9" t="n">
        <v>0</v>
      </c>
      <c r="J58" s="10" t="n">
        <v>6.48</v>
      </c>
      <c r="K58" s="10" t="n">
        <v>298.27</v>
      </c>
      <c r="L58" s="10" t="n">
        <v>0</v>
      </c>
      <c r="M58" s="5" t="inlineStr">
        <is>
          <t>Gasolina Aditivada</t>
        </is>
      </c>
      <c r="N58" s="22" t="inlineStr">
        <is>
          <t>Posto da Guarnição Militar Bagé</t>
        </is>
      </c>
      <c r="O58" s="5" t="inlineStr">
        <is>
          <t>Bagé</t>
        </is>
      </c>
      <c r="P58" s="22" t="inlineStr">
        <is>
          <t>Sd PM Silva</t>
        </is>
      </c>
      <c r="Q58" s="22" t="inlineStr">
        <is>
          <t>Primeiro registro do período (sem odômetro anterior para cálculo)</t>
        </is>
      </c>
    </row>
    <row r="59">
      <c r="A59" s="11" t="inlineStr">
        <is>
          <t>2026-08-26 08:03</t>
        </is>
      </c>
      <c r="B59" s="11" t="inlineStr">
        <is>
          <t>BM-14200</t>
        </is>
      </c>
      <c r="C59" s="11" t="inlineStr">
        <is>
          <t>JCY4B11</t>
        </is>
      </c>
      <c r="D59" s="25" t="inlineStr">
        <is>
          <t>Toyota Corolla 2.0</t>
        </is>
      </c>
      <c r="E59" s="26" t="n">
        <v>31998</v>
      </c>
      <c r="F59" s="26" t="n">
        <v>31487</v>
      </c>
      <c r="G59" s="26" t="n">
        <v>511</v>
      </c>
      <c r="H59" s="15" t="n">
        <v>50.37</v>
      </c>
      <c r="I59" s="15" t="n">
        <v>10.14</v>
      </c>
      <c r="J59" s="16" t="n">
        <v>6.39</v>
      </c>
      <c r="K59" s="16" t="n">
        <v>321.86</v>
      </c>
      <c r="L59" s="16" t="n">
        <v>0.63</v>
      </c>
      <c r="M59" s="11" t="inlineStr">
        <is>
          <t>Gasolina Aditivada</t>
        </is>
      </c>
      <c r="N59" s="25" t="inlineStr">
        <is>
          <t>Posto Petrobras Centro Bagé</t>
        </is>
      </c>
      <c r="O59" s="11" t="inlineStr">
        <is>
          <t>Bagé</t>
        </is>
      </c>
      <c r="P59" s="25" t="inlineStr">
        <is>
          <t>Sd PM Oliveira</t>
        </is>
      </c>
      <c r="Q59" s="25" t="inlineStr"/>
    </row>
    <row r="60">
      <c r="A60" s="5" t="inlineStr">
        <is>
          <t>2026-09-01 21:55</t>
        </is>
      </c>
      <c r="B60" s="5" t="inlineStr">
        <is>
          <t>BM-14200</t>
        </is>
      </c>
      <c r="C60" s="5" t="inlineStr">
        <is>
          <t>JCY4B11</t>
        </is>
      </c>
      <c r="D60" s="22" t="inlineStr">
        <is>
          <t>Toyota Corolla 2.0</t>
        </is>
      </c>
      <c r="E60" s="23" t="n">
        <v>32439</v>
      </c>
      <c r="F60" s="23" t="n">
        <v>31998</v>
      </c>
      <c r="G60" s="23" t="n">
        <v>441</v>
      </c>
      <c r="H60" s="9" t="n">
        <v>41.09</v>
      </c>
      <c r="I60" s="9" t="n">
        <v>10.73</v>
      </c>
      <c r="J60" s="10" t="n">
        <v>6.38</v>
      </c>
      <c r="K60" s="10" t="n">
        <v>262.15</v>
      </c>
      <c r="L60" s="10" t="n">
        <v>0.59</v>
      </c>
      <c r="M60" s="5" t="inlineStr">
        <is>
          <t>Gasolina Aditivada</t>
        </is>
      </c>
      <c r="N60" s="22" t="inlineStr">
        <is>
          <t>Posto Petrobras Centro Bagé</t>
        </is>
      </c>
      <c r="O60" s="5" t="inlineStr">
        <is>
          <t>Bagé</t>
        </is>
      </c>
      <c r="P60" s="22" t="inlineStr">
        <is>
          <t>Sd PM Pereira</t>
        </is>
      </c>
      <c r="Q60" s="22" t="inlineStr"/>
    </row>
    <row r="61">
      <c r="A61" s="11" t="inlineStr">
        <is>
          <t>2026-09-03 10:53</t>
        </is>
      </c>
      <c r="B61" s="11" t="inlineStr">
        <is>
          <t>BM-14200</t>
        </is>
      </c>
      <c r="C61" s="11" t="inlineStr">
        <is>
          <t>JCY4B11</t>
        </is>
      </c>
      <c r="D61" s="25" t="inlineStr">
        <is>
          <t>Toyota Corolla 2.0</t>
        </is>
      </c>
      <c r="E61" s="26" t="n">
        <v>32953</v>
      </c>
      <c r="F61" s="26" t="n">
        <v>32439</v>
      </c>
      <c r="G61" s="26" t="n">
        <v>514</v>
      </c>
      <c r="H61" s="15" t="n">
        <v>50.19</v>
      </c>
      <c r="I61" s="15" t="n">
        <v>10.24</v>
      </c>
      <c r="J61" s="16" t="n">
        <v>6.37</v>
      </c>
      <c r="K61" s="16" t="n">
        <v>319.71</v>
      </c>
      <c r="L61" s="16" t="n">
        <v>0.62</v>
      </c>
      <c r="M61" s="11" t="inlineStr">
        <is>
          <t>Gasolina Aditivada</t>
        </is>
      </c>
      <c r="N61" s="25" t="inlineStr">
        <is>
          <t>Posto Ipiranga Tiaraju (Bagé)</t>
        </is>
      </c>
      <c r="O61" s="11" t="inlineStr">
        <is>
          <t>Bagé</t>
        </is>
      </c>
      <c r="P61" s="25" t="inlineStr">
        <is>
          <t>Sd PM Santos</t>
        </is>
      </c>
      <c r="Q61" s="25" t="inlineStr"/>
    </row>
    <row r="62">
      <c r="A62" s="5" t="inlineStr">
        <is>
          <t>2026-09-03 21:50</t>
        </is>
      </c>
      <c r="B62" s="5" t="inlineStr">
        <is>
          <t>BM-14200</t>
        </is>
      </c>
      <c r="C62" s="5" t="inlineStr">
        <is>
          <t>JCY4B11</t>
        </is>
      </c>
      <c r="D62" s="22" t="inlineStr">
        <is>
          <t>Toyota Corolla 2.0</t>
        </is>
      </c>
      <c r="E62" s="23" t="n">
        <v>33303</v>
      </c>
      <c r="F62" s="23" t="n">
        <v>32953</v>
      </c>
      <c r="G62" s="23" t="n">
        <v>350</v>
      </c>
      <c r="H62" s="9" t="n">
        <v>34.06</v>
      </c>
      <c r="I62" s="9" t="n">
        <v>10.28</v>
      </c>
      <c r="J62" s="10" t="n">
        <v>6.4</v>
      </c>
      <c r="K62" s="10" t="n">
        <v>217.98</v>
      </c>
      <c r="L62" s="10" t="n">
        <v>0.62</v>
      </c>
      <c r="M62" s="5" t="inlineStr">
        <is>
          <t>Gasolina Aditivada</t>
        </is>
      </c>
      <c r="N62" s="22" t="inlineStr">
        <is>
          <t>Posto Ipiranga Tiaraju (Bagé)</t>
        </is>
      </c>
      <c r="O62" s="5" t="inlineStr">
        <is>
          <t>Bagé</t>
        </is>
      </c>
      <c r="P62" s="22" t="inlineStr">
        <is>
          <t>Sd PM Silva</t>
        </is>
      </c>
      <c r="Q62" s="22" t="inlineStr"/>
    </row>
    <row r="63">
      <c r="A63" s="11" t="inlineStr">
        <is>
          <t>2026-09-05 00:53</t>
        </is>
      </c>
      <c r="B63" s="11" t="inlineStr">
        <is>
          <t>BM-14200</t>
        </is>
      </c>
      <c r="C63" s="11" t="inlineStr">
        <is>
          <t>JCY4B11</t>
        </is>
      </c>
      <c r="D63" s="25" t="inlineStr">
        <is>
          <t>Toyota Corolla 2.0</t>
        </is>
      </c>
      <c r="E63" s="26" t="n">
        <v>33799</v>
      </c>
      <c r="F63" s="26" t="n">
        <v>33303</v>
      </c>
      <c r="G63" s="26" t="n">
        <v>496</v>
      </c>
      <c r="H63" s="15" t="n">
        <v>44.89</v>
      </c>
      <c r="I63" s="15" t="n">
        <v>11.05</v>
      </c>
      <c r="J63" s="16" t="n">
        <v>6.34</v>
      </c>
      <c r="K63" s="16" t="n">
        <v>284.6</v>
      </c>
      <c r="L63" s="16" t="n">
        <v>0.57</v>
      </c>
      <c r="M63" s="11" t="inlineStr">
        <is>
          <t>Gasolina Aditivada</t>
        </is>
      </c>
      <c r="N63" s="25" t="inlineStr">
        <is>
          <t>Posto Petrobras Centro Bagé</t>
        </is>
      </c>
      <c r="O63" s="11" t="inlineStr">
        <is>
          <t>Bagé</t>
        </is>
      </c>
      <c r="P63" s="25" t="inlineStr">
        <is>
          <t>Sd PM Santos</t>
        </is>
      </c>
      <c r="Q63" s="25" t="inlineStr"/>
    </row>
    <row r="64">
      <c r="A64" s="5" t="inlineStr">
        <is>
          <t>2026-09-08 13:54</t>
        </is>
      </c>
      <c r="B64" s="5" t="inlineStr">
        <is>
          <t>BM-14200</t>
        </is>
      </c>
      <c r="C64" s="5" t="inlineStr">
        <is>
          <t>JCY4B11</t>
        </is>
      </c>
      <c r="D64" s="22" t="inlineStr">
        <is>
          <t>Toyota Corolla 2.0</t>
        </is>
      </c>
      <c r="E64" s="23" t="n">
        <v>34223</v>
      </c>
      <c r="F64" s="23" t="n">
        <v>33799</v>
      </c>
      <c r="G64" s="23" t="n">
        <v>424</v>
      </c>
      <c r="H64" s="9" t="n">
        <v>43.13</v>
      </c>
      <c r="I64" s="9" t="n">
        <v>9.83</v>
      </c>
      <c r="J64" s="10" t="n">
        <v>6.38</v>
      </c>
      <c r="K64" s="10" t="n">
        <v>275.17</v>
      </c>
      <c r="L64" s="10" t="n">
        <v>0.65</v>
      </c>
      <c r="M64" s="5" t="inlineStr">
        <is>
          <t>Gasolina Aditivada</t>
        </is>
      </c>
      <c r="N64" s="22" t="inlineStr">
        <is>
          <t>Auto Posto Shell Santa Tecla (Bagé)</t>
        </is>
      </c>
      <c r="O64" s="5" t="inlineStr">
        <is>
          <t>Bagé</t>
        </is>
      </c>
      <c r="P64" s="22" t="inlineStr">
        <is>
          <t>Sd PM Silva</t>
        </is>
      </c>
      <c r="Q64" s="22" t="inlineStr"/>
    </row>
    <row r="65">
      <c r="A65" s="11" t="inlineStr">
        <is>
          <t>2026-09-11 23:06</t>
        </is>
      </c>
      <c r="B65" s="11" t="inlineStr">
        <is>
          <t>BM-14200</t>
        </is>
      </c>
      <c r="C65" s="11" t="inlineStr">
        <is>
          <t>JCY4B11</t>
        </is>
      </c>
      <c r="D65" s="25" t="inlineStr">
        <is>
          <t>Toyota Corolla 2.0</t>
        </is>
      </c>
      <c r="E65" s="26" t="n">
        <v>34651</v>
      </c>
      <c r="F65" s="26" t="n">
        <v>34223</v>
      </c>
      <c r="G65" s="26" t="n">
        <v>428</v>
      </c>
      <c r="H65" s="15" t="n">
        <v>39.89</v>
      </c>
      <c r="I65" s="15" t="n">
        <v>10.73</v>
      </c>
      <c r="J65" s="16" t="n">
        <v>6.44</v>
      </c>
      <c r="K65" s="16" t="n">
        <v>256.89</v>
      </c>
      <c r="L65" s="16" t="n">
        <v>0.6</v>
      </c>
      <c r="M65" s="11" t="inlineStr">
        <is>
          <t>Gasolina Aditivada</t>
        </is>
      </c>
      <c r="N65" s="25" t="inlineStr">
        <is>
          <t>Auto Posto Shell Santa Tecla (Bagé)</t>
        </is>
      </c>
      <c r="O65" s="11" t="inlineStr">
        <is>
          <t>Bagé</t>
        </is>
      </c>
      <c r="P65" s="25" t="inlineStr">
        <is>
          <t>Sd PM Silva</t>
        </is>
      </c>
      <c r="Q65" s="25" t="inlineStr"/>
    </row>
    <row r="66">
      <c r="A66" s="5" t="inlineStr">
        <is>
          <t>2026-09-13 03:21</t>
        </is>
      </c>
      <c r="B66" s="5" t="inlineStr">
        <is>
          <t>BM-14200</t>
        </is>
      </c>
      <c r="C66" s="5" t="inlineStr">
        <is>
          <t>JCY4B11</t>
        </is>
      </c>
      <c r="D66" s="22" t="inlineStr">
        <is>
          <t>Toyota Corolla 2.0</t>
        </is>
      </c>
      <c r="E66" s="23" t="n">
        <v>35020</v>
      </c>
      <c r="F66" s="23" t="n">
        <v>34651</v>
      </c>
      <c r="G66" s="23" t="n">
        <v>369</v>
      </c>
      <c r="H66" s="9" t="n">
        <v>37.58</v>
      </c>
      <c r="I66" s="9" t="n">
        <v>9.82</v>
      </c>
      <c r="J66" s="10" t="n">
        <v>6.26</v>
      </c>
      <c r="K66" s="10" t="n">
        <v>235.25</v>
      </c>
      <c r="L66" s="10" t="n">
        <v>0.64</v>
      </c>
      <c r="M66" s="5" t="inlineStr">
        <is>
          <t>Gasolina Aditivada</t>
        </is>
      </c>
      <c r="N66" s="22" t="inlineStr">
        <is>
          <t>Posto Ipiranga Tiaraju (Bagé)</t>
        </is>
      </c>
      <c r="O66" s="5" t="inlineStr">
        <is>
          <t>Bagé</t>
        </is>
      </c>
      <c r="P66" s="22" t="inlineStr">
        <is>
          <t>Sd PM Souza</t>
        </is>
      </c>
      <c r="Q66" s="22" t="inlineStr"/>
    </row>
    <row r="67">
      <c r="A67" s="11" t="inlineStr">
        <is>
          <t>2026-09-15 23:03</t>
        </is>
      </c>
      <c r="B67" s="11" t="inlineStr">
        <is>
          <t>BM-14200</t>
        </is>
      </c>
      <c r="C67" s="11" t="inlineStr">
        <is>
          <t>JCY4B11</t>
        </is>
      </c>
      <c r="D67" s="25" t="inlineStr">
        <is>
          <t>Toyota Corolla 2.0</t>
        </is>
      </c>
      <c r="E67" s="26" t="n">
        <v>35455</v>
      </c>
      <c r="F67" s="26" t="n">
        <v>35020</v>
      </c>
      <c r="G67" s="26" t="n">
        <v>435</v>
      </c>
      <c r="H67" s="15" t="n">
        <v>43.85</v>
      </c>
      <c r="I67" s="15" t="n">
        <v>9.92</v>
      </c>
      <c r="J67" s="16" t="n">
        <v>6.29</v>
      </c>
      <c r="K67" s="16" t="n">
        <v>275.82</v>
      </c>
      <c r="L67" s="16" t="n">
        <v>0.63</v>
      </c>
      <c r="M67" s="11" t="inlineStr">
        <is>
          <t>Gasolina Aditivada</t>
        </is>
      </c>
      <c r="N67" s="25" t="inlineStr">
        <is>
          <t>Auto Posto Shell Santa Tecla (Bagé)</t>
        </is>
      </c>
      <c r="O67" s="11" t="inlineStr">
        <is>
          <t>Bagé</t>
        </is>
      </c>
      <c r="P67" s="25" t="inlineStr">
        <is>
          <t>Sd PM Silva</t>
        </is>
      </c>
      <c r="Q67" s="25" t="inlineStr"/>
    </row>
    <row r="68">
      <c r="A68" s="5" t="inlineStr">
        <is>
          <t>2026-09-16 23:19</t>
        </is>
      </c>
      <c r="B68" s="5" t="inlineStr">
        <is>
          <t>BM-14200</t>
        </is>
      </c>
      <c r="C68" s="5" t="inlineStr">
        <is>
          <t>JCY4B11</t>
        </is>
      </c>
      <c r="D68" s="22" t="inlineStr">
        <is>
          <t>Toyota Corolla 2.0</t>
        </is>
      </c>
      <c r="E68" s="23" t="n">
        <v>35985</v>
      </c>
      <c r="F68" s="23" t="n">
        <v>35455</v>
      </c>
      <c r="G68" s="23" t="n">
        <v>530</v>
      </c>
      <c r="H68" s="9" t="n">
        <v>51.44</v>
      </c>
      <c r="I68" s="9" t="n">
        <v>10.3</v>
      </c>
      <c r="J68" s="10" t="n">
        <v>6.47</v>
      </c>
      <c r="K68" s="10" t="n">
        <v>332.82</v>
      </c>
      <c r="L68" s="10" t="n">
        <v>0.63</v>
      </c>
      <c r="M68" s="5" t="inlineStr">
        <is>
          <t>Gasolina Aditivada</t>
        </is>
      </c>
      <c r="N68" s="22" t="inlineStr">
        <is>
          <t>Auto Posto Shell Santa Tecla (Bagé)</t>
        </is>
      </c>
      <c r="O68" s="5" t="inlineStr">
        <is>
          <t>Bagé</t>
        </is>
      </c>
      <c r="P68" s="22" t="inlineStr">
        <is>
          <t>Sd PM Rodrigues</t>
        </is>
      </c>
      <c r="Q68" s="22" t="inlineStr"/>
    </row>
    <row r="69">
      <c r="A69" s="11" t="inlineStr">
        <is>
          <t>2026-09-19 23:34</t>
        </is>
      </c>
      <c r="B69" s="11" t="inlineStr">
        <is>
          <t>BM-14200</t>
        </is>
      </c>
      <c r="C69" s="11" t="inlineStr">
        <is>
          <t>JCY4B11</t>
        </is>
      </c>
      <c r="D69" s="25" t="inlineStr">
        <is>
          <t>Toyota Corolla 2.0</t>
        </is>
      </c>
      <c r="E69" s="26" t="n">
        <v>36409</v>
      </c>
      <c r="F69" s="26" t="n">
        <v>35985</v>
      </c>
      <c r="G69" s="26" t="n">
        <v>424</v>
      </c>
      <c r="H69" s="15" t="n">
        <v>37.99</v>
      </c>
      <c r="I69" s="15" t="n">
        <v>11.16</v>
      </c>
      <c r="J69" s="16" t="n">
        <v>6.5</v>
      </c>
      <c r="K69" s="16" t="n">
        <v>246.94</v>
      </c>
      <c r="L69" s="16" t="n">
        <v>0.58</v>
      </c>
      <c r="M69" s="11" t="inlineStr">
        <is>
          <t>Gasolina Aditivada</t>
        </is>
      </c>
      <c r="N69" s="25" t="inlineStr">
        <is>
          <t>Posto da Guarnição Militar Bagé</t>
        </is>
      </c>
      <c r="O69" s="11" t="inlineStr">
        <is>
          <t>Bagé</t>
        </is>
      </c>
      <c r="P69" s="25" t="inlineStr">
        <is>
          <t>Sd PM Souza</t>
        </is>
      </c>
      <c r="Q69" s="25" t="inlineStr"/>
    </row>
    <row r="70">
      <c r="A70" s="5" t="inlineStr">
        <is>
          <t>2026-08-24 03:48</t>
        </is>
      </c>
      <c r="B70" s="5" t="inlineStr">
        <is>
          <t>BM-14205</t>
        </is>
      </c>
      <c r="C70" s="5" t="inlineStr">
        <is>
          <t>JCY4B15</t>
        </is>
      </c>
      <c r="D70" s="22" t="inlineStr">
        <is>
          <t>Toyota Corolla 2.0</t>
        </is>
      </c>
      <c r="E70" s="23" t="n">
        <v>34961</v>
      </c>
      <c r="F70" s="24" t="inlineStr">
        <is>
          <t>-</t>
        </is>
      </c>
      <c r="G70" s="23" t="n">
        <v>0</v>
      </c>
      <c r="H70" s="9" t="n">
        <v>45.81</v>
      </c>
      <c r="I70" s="9" t="n">
        <v>0</v>
      </c>
      <c r="J70" s="10" t="n">
        <v>6.14</v>
      </c>
      <c r="K70" s="10" t="n">
        <v>281.27</v>
      </c>
      <c r="L70" s="10" t="n">
        <v>0</v>
      </c>
      <c r="M70" s="5" t="inlineStr">
        <is>
          <t>Gasolina Comum</t>
        </is>
      </c>
      <c r="N70" s="22" t="inlineStr">
        <is>
          <t>Posto Ipiranga Tiaraju (Bagé)</t>
        </is>
      </c>
      <c r="O70" s="5" t="inlineStr">
        <is>
          <t>Bagé</t>
        </is>
      </c>
      <c r="P70" s="22" t="inlineStr">
        <is>
          <t>Sd PM Santos</t>
        </is>
      </c>
      <c r="Q70" s="22" t="inlineStr">
        <is>
          <t>Primeiro registro do período (sem odômetro anterior para cálculo)</t>
        </is>
      </c>
    </row>
    <row r="71">
      <c r="A71" s="11" t="inlineStr">
        <is>
          <t>2026-08-25 06:49</t>
        </is>
      </c>
      <c r="B71" s="11" t="inlineStr">
        <is>
          <t>BM-14205</t>
        </is>
      </c>
      <c r="C71" s="11" t="inlineStr">
        <is>
          <t>JCY4B15</t>
        </is>
      </c>
      <c r="D71" s="25" t="inlineStr">
        <is>
          <t>Toyota Corolla 2.0</t>
        </is>
      </c>
      <c r="E71" s="26" t="n">
        <v>35314</v>
      </c>
      <c r="F71" s="26" t="n">
        <v>34961</v>
      </c>
      <c r="G71" s="26" t="n">
        <v>353</v>
      </c>
      <c r="H71" s="15" t="n">
        <v>37.43</v>
      </c>
      <c r="I71" s="15" t="n">
        <v>9.43</v>
      </c>
      <c r="J71" s="16" t="n">
        <v>6.19</v>
      </c>
      <c r="K71" s="16" t="n">
        <v>231.69</v>
      </c>
      <c r="L71" s="16" t="n">
        <v>0.66</v>
      </c>
      <c r="M71" s="11" t="inlineStr">
        <is>
          <t>Gasolina Comum</t>
        </is>
      </c>
      <c r="N71" s="25" t="inlineStr">
        <is>
          <t>Auto Posto Shell Santa Tecla (Bagé)</t>
        </is>
      </c>
      <c r="O71" s="11" t="inlineStr">
        <is>
          <t>Bagé</t>
        </is>
      </c>
      <c r="P71" s="25" t="inlineStr">
        <is>
          <t>Sd PM Rodrigues</t>
        </is>
      </c>
      <c r="Q71" s="25" t="inlineStr"/>
    </row>
    <row r="72">
      <c r="A72" s="5" t="inlineStr">
        <is>
          <t>2026-08-26 08:03</t>
        </is>
      </c>
      <c r="B72" s="5" t="inlineStr">
        <is>
          <t>BM-14205</t>
        </is>
      </c>
      <c r="C72" s="5" t="inlineStr">
        <is>
          <t>JCY4B15</t>
        </is>
      </c>
      <c r="D72" s="22" t="inlineStr">
        <is>
          <t>Toyota Corolla 2.0</t>
        </is>
      </c>
      <c r="E72" s="23" t="n">
        <v>35791</v>
      </c>
      <c r="F72" s="23" t="n">
        <v>35314</v>
      </c>
      <c r="G72" s="23" t="n">
        <v>477</v>
      </c>
      <c r="H72" s="9" t="n">
        <v>50.53</v>
      </c>
      <c r="I72" s="9" t="n">
        <v>9.44</v>
      </c>
      <c r="J72" s="10" t="n">
        <v>6.11</v>
      </c>
      <c r="K72" s="10" t="n">
        <v>308.74</v>
      </c>
      <c r="L72" s="10" t="n">
        <v>0.65</v>
      </c>
      <c r="M72" s="5" t="inlineStr">
        <is>
          <t>Gasolina Comum</t>
        </is>
      </c>
      <c r="N72" s="22" t="inlineStr">
        <is>
          <t>Posto Ipiranga Tiaraju (Bagé)</t>
        </is>
      </c>
      <c r="O72" s="5" t="inlineStr">
        <is>
          <t>Bagé</t>
        </is>
      </c>
      <c r="P72" s="22" t="inlineStr">
        <is>
          <t>Sd PM Santos</t>
        </is>
      </c>
      <c r="Q72" s="22" t="inlineStr"/>
    </row>
    <row r="73">
      <c r="A73" s="11" t="inlineStr">
        <is>
          <t>2026-08-28 03:25</t>
        </is>
      </c>
      <c r="B73" s="11" t="inlineStr">
        <is>
          <t>BM-14205</t>
        </is>
      </c>
      <c r="C73" s="11" t="inlineStr">
        <is>
          <t>JCY4B15</t>
        </is>
      </c>
      <c r="D73" s="25" t="inlineStr">
        <is>
          <t>Toyota Corolla 2.0</t>
        </is>
      </c>
      <c r="E73" s="26" t="n">
        <v>36217</v>
      </c>
      <c r="F73" s="26" t="n">
        <v>35791</v>
      </c>
      <c r="G73" s="26" t="n">
        <v>426</v>
      </c>
      <c r="H73" s="15" t="n">
        <v>42.2</v>
      </c>
      <c r="I73" s="15" t="n">
        <v>10.09</v>
      </c>
      <c r="J73" s="16" t="n">
        <v>6.08</v>
      </c>
      <c r="K73" s="16" t="n">
        <v>256.58</v>
      </c>
      <c r="L73" s="16" t="n">
        <v>0.6</v>
      </c>
      <c r="M73" s="11" t="inlineStr">
        <is>
          <t>Gasolina Comum</t>
        </is>
      </c>
      <c r="N73" s="25" t="inlineStr">
        <is>
          <t>Posto Ipiranga Tiaraju (Bagé)</t>
        </is>
      </c>
      <c r="O73" s="11" t="inlineStr">
        <is>
          <t>Bagé</t>
        </is>
      </c>
      <c r="P73" s="25" t="inlineStr">
        <is>
          <t>Sd PM Ferreira</t>
        </is>
      </c>
      <c r="Q73" s="25" t="inlineStr"/>
    </row>
    <row r="74">
      <c r="A74" s="5" t="inlineStr">
        <is>
          <t>2026-08-30 11:50</t>
        </is>
      </c>
      <c r="B74" s="5" t="inlineStr">
        <is>
          <t>BM-14205</t>
        </is>
      </c>
      <c r="C74" s="5" t="inlineStr">
        <is>
          <t>JCY4B15</t>
        </is>
      </c>
      <c r="D74" s="22" t="inlineStr">
        <is>
          <t>Toyota Corolla 2.0</t>
        </is>
      </c>
      <c r="E74" s="23" t="n">
        <v>36570</v>
      </c>
      <c r="F74" s="23" t="n">
        <v>36217</v>
      </c>
      <c r="G74" s="23" t="n">
        <v>353</v>
      </c>
      <c r="H74" s="9" t="n">
        <v>33.51</v>
      </c>
      <c r="I74" s="9" t="n">
        <v>10.53</v>
      </c>
      <c r="J74" s="10" t="n">
        <v>6.08</v>
      </c>
      <c r="K74" s="10" t="n">
        <v>203.74</v>
      </c>
      <c r="L74" s="10" t="n">
        <v>0.58</v>
      </c>
      <c r="M74" s="5" t="inlineStr">
        <is>
          <t>Gasolina Comum</t>
        </is>
      </c>
      <c r="N74" s="22" t="inlineStr">
        <is>
          <t>Posto da Guarnição Militar Bagé</t>
        </is>
      </c>
      <c r="O74" s="5" t="inlineStr">
        <is>
          <t>Bagé</t>
        </is>
      </c>
      <c r="P74" s="22" t="inlineStr">
        <is>
          <t>Sd PM Pereira</t>
        </is>
      </c>
      <c r="Q74" s="22" t="inlineStr"/>
    </row>
    <row r="75">
      <c r="A75" s="11" t="inlineStr">
        <is>
          <t>2026-09-01 21:55</t>
        </is>
      </c>
      <c r="B75" s="11" t="inlineStr">
        <is>
          <t>BM-14205</t>
        </is>
      </c>
      <c r="C75" s="11" t="inlineStr">
        <is>
          <t>JCY4B15</t>
        </is>
      </c>
      <c r="D75" s="25" t="inlineStr">
        <is>
          <t>Toyota Corolla 2.0</t>
        </is>
      </c>
      <c r="E75" s="26" t="n">
        <v>37063</v>
      </c>
      <c r="F75" s="26" t="n">
        <v>36570</v>
      </c>
      <c r="G75" s="26" t="n">
        <v>493</v>
      </c>
      <c r="H75" s="15" t="n">
        <v>47.32</v>
      </c>
      <c r="I75" s="15" t="n">
        <v>10.42</v>
      </c>
      <c r="J75" s="16" t="n">
        <v>6.21</v>
      </c>
      <c r="K75" s="16" t="n">
        <v>293.86</v>
      </c>
      <c r="L75" s="16" t="n">
        <v>0.6</v>
      </c>
      <c r="M75" s="11" t="inlineStr">
        <is>
          <t>Gasolina Comum</t>
        </is>
      </c>
      <c r="N75" s="25" t="inlineStr">
        <is>
          <t>Auto Posto Shell Santa Tecla (Bagé)</t>
        </is>
      </c>
      <c r="O75" s="11" t="inlineStr">
        <is>
          <t>Bagé</t>
        </is>
      </c>
      <c r="P75" s="25" t="inlineStr">
        <is>
          <t>Sd PM Pereira</t>
        </is>
      </c>
      <c r="Q75" s="25" t="inlineStr"/>
    </row>
    <row r="76">
      <c r="A76" s="5" t="inlineStr">
        <is>
          <t>2026-09-05 00:53</t>
        </is>
      </c>
      <c r="B76" s="5" t="inlineStr">
        <is>
          <t>BM-14205</t>
        </is>
      </c>
      <c r="C76" s="5" t="inlineStr">
        <is>
          <t>JCY4B15</t>
        </is>
      </c>
      <c r="D76" s="22" t="inlineStr">
        <is>
          <t>Toyota Corolla 2.0</t>
        </is>
      </c>
      <c r="E76" s="23" t="n">
        <v>37482</v>
      </c>
      <c r="F76" s="23" t="n">
        <v>37063</v>
      </c>
      <c r="G76" s="23" t="n">
        <v>419</v>
      </c>
      <c r="H76" s="9" t="n">
        <v>41.84</v>
      </c>
      <c r="I76" s="9" t="n">
        <v>10.01</v>
      </c>
      <c r="J76" s="10" t="n">
        <v>6.24</v>
      </c>
      <c r="K76" s="10" t="n">
        <v>261.08</v>
      </c>
      <c r="L76" s="10" t="n">
        <v>0.62</v>
      </c>
      <c r="M76" s="5" t="inlineStr">
        <is>
          <t>Gasolina Comum</t>
        </is>
      </c>
      <c r="N76" s="22" t="inlineStr">
        <is>
          <t>Posto Petrobras Centro Bagé</t>
        </is>
      </c>
      <c r="O76" s="5" t="inlineStr">
        <is>
          <t>Bagé</t>
        </is>
      </c>
      <c r="P76" s="22" t="inlineStr">
        <is>
          <t>Sd PM Rodrigues</t>
        </is>
      </c>
      <c r="Q76" s="22" t="inlineStr"/>
    </row>
    <row r="77">
      <c r="A77" s="11" t="inlineStr">
        <is>
          <t>2026-09-06 06:39</t>
        </is>
      </c>
      <c r="B77" s="11" t="inlineStr">
        <is>
          <t>BM-14205</t>
        </is>
      </c>
      <c r="C77" s="11" t="inlineStr">
        <is>
          <t>JCY4B15</t>
        </is>
      </c>
      <c r="D77" s="25" t="inlineStr">
        <is>
          <t>Toyota Corolla 2.0</t>
        </is>
      </c>
      <c r="E77" s="26" t="n">
        <v>37932</v>
      </c>
      <c r="F77" s="26" t="n">
        <v>37482</v>
      </c>
      <c r="G77" s="26" t="n">
        <v>450</v>
      </c>
      <c r="H77" s="15" t="n">
        <v>47.65</v>
      </c>
      <c r="I77" s="15" t="n">
        <v>9.44</v>
      </c>
      <c r="J77" s="16" t="n">
        <v>6.27</v>
      </c>
      <c r="K77" s="16" t="n">
        <v>298.77</v>
      </c>
      <c r="L77" s="16" t="n">
        <v>0.66</v>
      </c>
      <c r="M77" s="11" t="inlineStr">
        <is>
          <t>Gasolina Comum</t>
        </is>
      </c>
      <c r="N77" s="25" t="inlineStr">
        <is>
          <t>Posto da Guarnição Militar Bagé</t>
        </is>
      </c>
      <c r="O77" s="11" t="inlineStr">
        <is>
          <t>Bagé</t>
        </is>
      </c>
      <c r="P77" s="25" t="inlineStr">
        <is>
          <t>Sd PM Oliveira</t>
        </is>
      </c>
      <c r="Q77" s="25" t="inlineStr"/>
    </row>
    <row r="78">
      <c r="A78" s="5" t="inlineStr">
        <is>
          <t>2026-09-08 13:54</t>
        </is>
      </c>
      <c r="B78" s="5" t="inlineStr">
        <is>
          <t>BM-14205</t>
        </is>
      </c>
      <c r="C78" s="5" t="inlineStr">
        <is>
          <t>JCY4B15</t>
        </is>
      </c>
      <c r="D78" s="22" t="inlineStr">
        <is>
          <t>Toyota Corolla 2.0</t>
        </is>
      </c>
      <c r="E78" s="23" t="n">
        <v>38297</v>
      </c>
      <c r="F78" s="23" t="n">
        <v>37932</v>
      </c>
      <c r="G78" s="23" t="n">
        <v>365</v>
      </c>
      <c r="H78" s="9" t="n">
        <v>35.75</v>
      </c>
      <c r="I78" s="9" t="n">
        <v>10.21</v>
      </c>
      <c r="J78" s="10" t="n">
        <v>6.13</v>
      </c>
      <c r="K78" s="10" t="n">
        <v>219.15</v>
      </c>
      <c r="L78" s="10" t="n">
        <v>0.6</v>
      </c>
      <c r="M78" s="5" t="inlineStr">
        <is>
          <t>Gasolina Comum</t>
        </is>
      </c>
      <c r="N78" s="22" t="inlineStr">
        <is>
          <t>Auto Posto Shell Santa Tecla (Bagé)</t>
        </is>
      </c>
      <c r="O78" s="5" t="inlineStr">
        <is>
          <t>Bagé</t>
        </is>
      </c>
      <c r="P78" s="22" t="inlineStr">
        <is>
          <t>Sd PM Rodrigues</t>
        </is>
      </c>
      <c r="Q78" s="22" t="inlineStr"/>
    </row>
    <row r="79">
      <c r="A79" s="11" t="inlineStr">
        <is>
          <t>2026-09-09 02:13</t>
        </is>
      </c>
      <c r="B79" s="11" t="inlineStr">
        <is>
          <t>BM-14205</t>
        </is>
      </c>
      <c r="C79" s="11" t="inlineStr">
        <is>
          <t>JCY4B15</t>
        </is>
      </c>
      <c r="D79" s="25" t="inlineStr">
        <is>
          <t>Toyota Corolla 2.0</t>
        </is>
      </c>
      <c r="E79" s="26" t="n">
        <v>38678</v>
      </c>
      <c r="F79" s="26" t="n">
        <v>38297</v>
      </c>
      <c r="G79" s="26" t="n">
        <v>381</v>
      </c>
      <c r="H79" s="15" t="n">
        <v>39.38</v>
      </c>
      <c r="I79" s="15" t="n">
        <v>9.67</v>
      </c>
      <c r="J79" s="16" t="n">
        <v>6.26</v>
      </c>
      <c r="K79" s="16" t="n">
        <v>246.52</v>
      </c>
      <c r="L79" s="16" t="n">
        <v>0.65</v>
      </c>
      <c r="M79" s="11" t="inlineStr">
        <is>
          <t>Gasolina Comum</t>
        </is>
      </c>
      <c r="N79" s="25" t="inlineStr">
        <is>
          <t>Auto Posto Shell Santa Tecla (Bagé)</t>
        </is>
      </c>
      <c r="O79" s="11" t="inlineStr">
        <is>
          <t>Bagé</t>
        </is>
      </c>
      <c r="P79" s="25" t="inlineStr">
        <is>
          <t>Sd PM Silva</t>
        </is>
      </c>
      <c r="Q79" s="25" t="inlineStr"/>
    </row>
    <row r="80">
      <c r="A80" s="5" t="inlineStr">
        <is>
          <t>2026-09-10 05:14</t>
        </is>
      </c>
      <c r="B80" s="5" t="inlineStr">
        <is>
          <t>BM-14205</t>
        </is>
      </c>
      <c r="C80" s="5" t="inlineStr">
        <is>
          <t>JCY4B15</t>
        </is>
      </c>
      <c r="D80" s="22" t="inlineStr">
        <is>
          <t>Toyota Corolla 2.0</t>
        </is>
      </c>
      <c r="E80" s="23" t="n">
        <v>39053</v>
      </c>
      <c r="F80" s="23" t="n">
        <v>38678</v>
      </c>
      <c r="G80" s="23" t="n">
        <v>375</v>
      </c>
      <c r="H80" s="9" t="n">
        <v>36.54</v>
      </c>
      <c r="I80" s="9" t="n">
        <v>10.26</v>
      </c>
      <c r="J80" s="10" t="n">
        <v>6.22</v>
      </c>
      <c r="K80" s="10" t="n">
        <v>227.28</v>
      </c>
      <c r="L80" s="10" t="n">
        <v>0.61</v>
      </c>
      <c r="M80" s="5" t="inlineStr">
        <is>
          <t>Gasolina Comum</t>
        </is>
      </c>
      <c r="N80" s="22" t="inlineStr">
        <is>
          <t>Auto Posto Shell Santa Tecla (Bagé)</t>
        </is>
      </c>
      <c r="O80" s="5" t="inlineStr">
        <is>
          <t>Bagé</t>
        </is>
      </c>
      <c r="P80" s="22" t="inlineStr">
        <is>
          <t>Sd PM Oliveira</t>
        </is>
      </c>
      <c r="Q80" s="22" t="inlineStr"/>
    </row>
    <row r="81">
      <c r="A81" s="11" t="inlineStr">
        <is>
          <t>2026-09-13 03:21</t>
        </is>
      </c>
      <c r="B81" s="11" t="inlineStr">
        <is>
          <t>BM-14205</t>
        </is>
      </c>
      <c r="C81" s="11" t="inlineStr">
        <is>
          <t>JCY4B15</t>
        </is>
      </c>
      <c r="D81" s="25" t="inlineStr">
        <is>
          <t>Toyota Corolla 2.0</t>
        </is>
      </c>
      <c r="E81" s="26" t="n">
        <v>39574</v>
      </c>
      <c r="F81" s="26" t="n">
        <v>39053</v>
      </c>
      <c r="G81" s="26" t="n">
        <v>521</v>
      </c>
      <c r="H81" s="15" t="n">
        <v>48.57</v>
      </c>
      <c r="I81" s="15" t="n">
        <v>10.73</v>
      </c>
      <c r="J81" s="16" t="n">
        <v>6.24</v>
      </c>
      <c r="K81" s="16" t="n">
        <v>303.08</v>
      </c>
      <c r="L81" s="16" t="n">
        <v>0.58</v>
      </c>
      <c r="M81" s="11" t="inlineStr">
        <is>
          <t>Gasolina Comum</t>
        </is>
      </c>
      <c r="N81" s="25" t="inlineStr">
        <is>
          <t>Auto Posto Shell Santa Tecla (Bagé)</t>
        </is>
      </c>
      <c r="O81" s="11" t="inlineStr">
        <is>
          <t>Bagé</t>
        </is>
      </c>
      <c r="P81" s="25" t="inlineStr">
        <is>
          <t>Sd PM Souza</t>
        </is>
      </c>
      <c r="Q81" s="25" t="inlineStr"/>
    </row>
    <row r="82">
      <c r="A82" s="5" t="inlineStr">
        <is>
          <t>2026-09-18 23:06</t>
        </is>
      </c>
      <c r="B82" s="5" t="inlineStr">
        <is>
          <t>BM-14205</t>
        </is>
      </c>
      <c r="C82" s="5" t="inlineStr">
        <is>
          <t>JCY4B15</t>
        </is>
      </c>
      <c r="D82" s="22" t="inlineStr">
        <is>
          <t>Toyota Corolla 2.0</t>
        </is>
      </c>
      <c r="E82" s="23" t="n">
        <v>39915</v>
      </c>
      <c r="F82" s="23" t="n">
        <v>39574</v>
      </c>
      <c r="G82" s="23" t="n">
        <v>341</v>
      </c>
      <c r="H82" s="9" t="n">
        <v>33.92</v>
      </c>
      <c r="I82" s="9" t="n">
        <v>10.05</v>
      </c>
      <c r="J82" s="10" t="n">
        <v>6.23</v>
      </c>
      <c r="K82" s="10" t="n">
        <v>211.32</v>
      </c>
      <c r="L82" s="10" t="n">
        <v>0.62</v>
      </c>
      <c r="M82" s="5" t="inlineStr">
        <is>
          <t>Gasolina Comum</t>
        </is>
      </c>
      <c r="N82" s="22" t="inlineStr">
        <is>
          <t>Auto Posto Shell Santa Tecla (Bagé)</t>
        </is>
      </c>
      <c r="O82" s="5" t="inlineStr">
        <is>
          <t>Bagé</t>
        </is>
      </c>
      <c r="P82" s="22" t="inlineStr">
        <is>
          <t>Sd PM Rodrigues</t>
        </is>
      </c>
      <c r="Q82" s="22" t="inlineStr"/>
    </row>
    <row r="83">
      <c r="A83" s="11" t="inlineStr">
        <is>
          <t>2026-08-20 02:11</t>
        </is>
      </c>
      <c r="B83" s="11" t="inlineStr">
        <is>
          <t>BM-15010</t>
        </is>
      </c>
      <c r="C83" s="11" t="inlineStr">
        <is>
          <t>JZZ7C34</t>
        </is>
      </c>
      <c r="D83" s="25" t="inlineStr">
        <is>
          <t>Chevrolet Spin 1.8</t>
        </is>
      </c>
      <c r="E83" s="26" t="n">
        <v>88707</v>
      </c>
      <c r="F83" s="27" t="inlineStr">
        <is>
          <t>-</t>
        </is>
      </c>
      <c r="G83" s="26" t="n">
        <v>0</v>
      </c>
      <c r="H83" s="15" t="n">
        <v>44.75</v>
      </c>
      <c r="I83" s="15" t="n">
        <v>0</v>
      </c>
      <c r="J83" s="16" t="n">
        <v>6.28</v>
      </c>
      <c r="K83" s="16" t="n">
        <v>281.03</v>
      </c>
      <c r="L83" s="16" t="n">
        <v>0</v>
      </c>
      <c r="M83" s="11" t="inlineStr">
        <is>
          <t>Gasolina Comum</t>
        </is>
      </c>
      <c r="N83" s="25" t="inlineStr">
        <is>
          <t>Posto da Guarnição Militar Bagé</t>
        </is>
      </c>
      <c r="O83" s="11" t="inlineStr">
        <is>
          <t>Bagé</t>
        </is>
      </c>
      <c r="P83" s="25" t="inlineStr">
        <is>
          <t>Sd PM Pereira</t>
        </is>
      </c>
      <c r="Q83" s="25" t="inlineStr">
        <is>
          <t>Primeiro registro do período (sem odômetro anterior para cálculo)</t>
        </is>
      </c>
    </row>
    <row r="84">
      <c r="A84" s="5" t="inlineStr">
        <is>
          <t>2026-08-31 00:35</t>
        </is>
      </c>
      <c r="B84" s="5" t="inlineStr">
        <is>
          <t>BM-15010</t>
        </is>
      </c>
      <c r="C84" s="5" t="inlineStr">
        <is>
          <t>JZZ7C34</t>
        </is>
      </c>
      <c r="D84" s="22" t="inlineStr">
        <is>
          <t>Chevrolet Spin 1.8</t>
        </is>
      </c>
      <c r="E84" s="23" t="n">
        <v>89106</v>
      </c>
      <c r="F84" s="23" t="n">
        <v>88707</v>
      </c>
      <c r="G84" s="23" t="n">
        <v>399</v>
      </c>
      <c r="H84" s="9" t="n">
        <v>43.25</v>
      </c>
      <c r="I84" s="9" t="n">
        <v>9.23</v>
      </c>
      <c r="J84" s="10" t="n">
        <v>6.23</v>
      </c>
      <c r="K84" s="10" t="n">
        <v>269.45</v>
      </c>
      <c r="L84" s="10" t="n">
        <v>0.68</v>
      </c>
      <c r="M84" s="5" t="inlineStr">
        <is>
          <t>Gasolina Comum</t>
        </is>
      </c>
      <c r="N84" s="22" t="inlineStr">
        <is>
          <t>Posto da Guarnição Militar Bagé</t>
        </is>
      </c>
      <c r="O84" s="5" t="inlineStr">
        <is>
          <t>Bagé</t>
        </is>
      </c>
      <c r="P84" s="22" t="inlineStr">
        <is>
          <t>Sd PM Oliveira</t>
        </is>
      </c>
      <c r="Q84" s="22" t="inlineStr"/>
    </row>
    <row r="85">
      <c r="A85" s="11" t="inlineStr">
        <is>
          <t>2026-09-01 09:15</t>
        </is>
      </c>
      <c r="B85" s="11" t="inlineStr">
        <is>
          <t>BM-15010</t>
        </is>
      </c>
      <c r="C85" s="11" t="inlineStr">
        <is>
          <t>JZZ7C34</t>
        </is>
      </c>
      <c r="D85" s="25" t="inlineStr">
        <is>
          <t>Chevrolet Spin 1.8</t>
        </is>
      </c>
      <c r="E85" s="26" t="n">
        <v>89476</v>
      </c>
      <c r="F85" s="26" t="n">
        <v>89106</v>
      </c>
      <c r="G85" s="26" t="n">
        <v>370</v>
      </c>
      <c r="H85" s="15" t="n">
        <v>41.92</v>
      </c>
      <c r="I85" s="15" t="n">
        <v>8.83</v>
      </c>
      <c r="J85" s="16" t="n">
        <v>6.13</v>
      </c>
      <c r="K85" s="16" t="n">
        <v>256.97</v>
      </c>
      <c r="L85" s="16" t="n">
        <v>0.6899999999999999</v>
      </c>
      <c r="M85" s="11" t="inlineStr">
        <is>
          <t>Gasolina Comum</t>
        </is>
      </c>
      <c r="N85" s="25" t="inlineStr">
        <is>
          <t>Posto Petrobras Centro Bagé</t>
        </is>
      </c>
      <c r="O85" s="11" t="inlineStr">
        <is>
          <t>Bagé</t>
        </is>
      </c>
      <c r="P85" s="25" t="inlineStr">
        <is>
          <t>Sd PM Rodrigues</t>
        </is>
      </c>
      <c r="Q85" s="25" t="inlineStr"/>
    </row>
    <row r="86">
      <c r="A86" s="5" t="inlineStr">
        <is>
          <t>2026-09-10 05:14</t>
        </is>
      </c>
      <c r="B86" s="5" t="inlineStr">
        <is>
          <t>BM-15010</t>
        </is>
      </c>
      <c r="C86" s="5" t="inlineStr">
        <is>
          <t>JZZ7C34</t>
        </is>
      </c>
      <c r="D86" s="22" t="inlineStr">
        <is>
          <t>Chevrolet Spin 1.8</t>
        </is>
      </c>
      <c r="E86" s="23" t="n">
        <v>89938</v>
      </c>
      <c r="F86" s="23" t="n">
        <v>89476</v>
      </c>
      <c r="G86" s="23" t="n">
        <v>462</v>
      </c>
      <c r="H86" s="9" t="n">
        <v>51.19</v>
      </c>
      <c r="I86" s="9" t="n">
        <v>9.029999999999999</v>
      </c>
      <c r="J86" s="10" t="n">
        <v>6.29</v>
      </c>
      <c r="K86" s="10" t="n">
        <v>321.99</v>
      </c>
      <c r="L86" s="10" t="n">
        <v>0.7</v>
      </c>
      <c r="M86" s="5" t="inlineStr">
        <is>
          <t>Gasolina Comum</t>
        </is>
      </c>
      <c r="N86" s="22" t="inlineStr">
        <is>
          <t>Posto Petrobras Centro Bagé</t>
        </is>
      </c>
      <c r="O86" s="5" t="inlineStr">
        <is>
          <t>Bagé</t>
        </is>
      </c>
      <c r="P86" s="22" t="inlineStr">
        <is>
          <t>Sd PM Ferreira</t>
        </is>
      </c>
      <c r="Q86" s="22" t="inlineStr"/>
    </row>
    <row r="87">
      <c r="A87" s="11" t="inlineStr">
        <is>
          <t>2026-09-13 03:21</t>
        </is>
      </c>
      <c r="B87" s="11" t="inlineStr">
        <is>
          <t>BM-15010</t>
        </is>
      </c>
      <c r="C87" s="11" t="inlineStr">
        <is>
          <t>JZZ7C34</t>
        </is>
      </c>
      <c r="D87" s="25" t="inlineStr">
        <is>
          <t>Chevrolet Spin 1.8</t>
        </is>
      </c>
      <c r="E87" s="26" t="n">
        <v>90247</v>
      </c>
      <c r="F87" s="26" t="n">
        <v>89938</v>
      </c>
      <c r="G87" s="26" t="n">
        <v>309</v>
      </c>
      <c r="H87" s="15" t="n">
        <v>36.53</v>
      </c>
      <c r="I87" s="15" t="n">
        <v>8.460000000000001</v>
      </c>
      <c r="J87" s="16" t="n">
        <v>6.14</v>
      </c>
      <c r="K87" s="16" t="n">
        <v>224.29</v>
      </c>
      <c r="L87" s="16" t="n">
        <v>0.73</v>
      </c>
      <c r="M87" s="11" t="inlineStr">
        <is>
          <t>Gasolina Comum</t>
        </is>
      </c>
      <c r="N87" s="25" t="inlineStr">
        <is>
          <t>Posto da Guarnição Militar Bagé</t>
        </is>
      </c>
      <c r="O87" s="11" t="inlineStr">
        <is>
          <t>Bagé</t>
        </is>
      </c>
      <c r="P87" s="25" t="inlineStr">
        <is>
          <t>Sd PM Pereira</t>
        </is>
      </c>
      <c r="Q87" s="25" t="inlineStr"/>
    </row>
    <row r="88">
      <c r="A88" s="5" t="inlineStr">
        <is>
          <t>2026-09-15 23:03</t>
        </is>
      </c>
      <c r="B88" s="5" t="inlineStr">
        <is>
          <t>BM-15010</t>
        </is>
      </c>
      <c r="C88" s="5" t="inlineStr">
        <is>
          <t>JZZ7C34</t>
        </is>
      </c>
      <c r="D88" s="22" t="inlineStr">
        <is>
          <t>Chevrolet Spin 1.8</t>
        </is>
      </c>
      <c r="E88" s="23" t="n">
        <v>90518</v>
      </c>
      <c r="F88" s="23" t="n">
        <v>90247</v>
      </c>
      <c r="G88" s="23" t="n">
        <v>271</v>
      </c>
      <c r="H88" s="9" t="n">
        <v>32.04</v>
      </c>
      <c r="I88" s="9" t="n">
        <v>8.460000000000001</v>
      </c>
      <c r="J88" s="10" t="n">
        <v>6.13</v>
      </c>
      <c r="K88" s="10" t="n">
        <v>196.41</v>
      </c>
      <c r="L88" s="10" t="n">
        <v>0.72</v>
      </c>
      <c r="M88" s="5" t="inlineStr">
        <is>
          <t>Gasolina Comum</t>
        </is>
      </c>
      <c r="N88" s="22" t="inlineStr">
        <is>
          <t>Auto Posto Shell Santa Tecla (Bagé)</t>
        </is>
      </c>
      <c r="O88" s="5" t="inlineStr">
        <is>
          <t>Bagé</t>
        </is>
      </c>
      <c r="P88" s="22" t="inlineStr">
        <is>
          <t>Sd PM Oliveira</t>
        </is>
      </c>
      <c r="Q88" s="22" t="inlineStr"/>
    </row>
    <row r="89">
      <c r="A89" s="11" t="inlineStr">
        <is>
          <t>2026-09-18 23:06</t>
        </is>
      </c>
      <c r="B89" s="11" t="inlineStr">
        <is>
          <t>BM-15010</t>
        </is>
      </c>
      <c r="C89" s="11" t="inlineStr">
        <is>
          <t>JZZ7C34</t>
        </is>
      </c>
      <c r="D89" s="25" t="inlineStr">
        <is>
          <t>Chevrolet Spin 1.8</t>
        </is>
      </c>
      <c r="E89" s="26" t="n">
        <v>90841</v>
      </c>
      <c r="F89" s="26" t="n">
        <v>90518</v>
      </c>
      <c r="G89" s="26" t="n">
        <v>323</v>
      </c>
      <c r="H89" s="15" t="n">
        <v>34.19</v>
      </c>
      <c r="I89" s="15" t="n">
        <v>9.449999999999999</v>
      </c>
      <c r="J89" s="16" t="n">
        <v>6.22</v>
      </c>
      <c r="K89" s="16" t="n">
        <v>212.66</v>
      </c>
      <c r="L89" s="16" t="n">
        <v>0.66</v>
      </c>
      <c r="M89" s="11" t="inlineStr">
        <is>
          <t>Gasolina Comum</t>
        </is>
      </c>
      <c r="N89" s="25" t="inlineStr">
        <is>
          <t>Auto Posto Shell Santa Tecla (Bagé)</t>
        </is>
      </c>
      <c r="O89" s="11" t="inlineStr">
        <is>
          <t>Bagé</t>
        </is>
      </c>
      <c r="P89" s="25" t="inlineStr">
        <is>
          <t>Sd PM Rodrigues</t>
        </is>
      </c>
      <c r="Q89" s="25" t="inlineStr"/>
    </row>
    <row r="90">
      <c r="A90" s="5" t="inlineStr">
        <is>
          <t>2026-09-19 23:34</t>
        </is>
      </c>
      <c r="B90" s="5" t="inlineStr">
        <is>
          <t>BM-15010</t>
        </is>
      </c>
      <c r="C90" s="5" t="inlineStr">
        <is>
          <t>JZZ7C34</t>
        </is>
      </c>
      <c r="D90" s="22" t="inlineStr">
        <is>
          <t>Chevrolet Spin 1.8</t>
        </is>
      </c>
      <c r="E90" s="23" t="n">
        <v>91182</v>
      </c>
      <c r="F90" s="23" t="n">
        <v>90841</v>
      </c>
      <c r="G90" s="23" t="n">
        <v>341</v>
      </c>
      <c r="H90" s="9" t="n">
        <v>41</v>
      </c>
      <c r="I90" s="9" t="n">
        <v>8.32</v>
      </c>
      <c r="J90" s="10" t="n">
        <v>6.26</v>
      </c>
      <c r="K90" s="10" t="n">
        <v>256.66</v>
      </c>
      <c r="L90" s="10" t="n">
        <v>0.75</v>
      </c>
      <c r="M90" s="5" t="inlineStr">
        <is>
          <t>Gasolina Comum</t>
        </is>
      </c>
      <c r="N90" s="22" t="inlineStr">
        <is>
          <t>Posto da Guarnição Militar Bagé</t>
        </is>
      </c>
      <c r="O90" s="5" t="inlineStr">
        <is>
          <t>Bagé</t>
        </is>
      </c>
      <c r="P90" s="22" t="inlineStr">
        <is>
          <t>Sd PM Pereira</t>
        </is>
      </c>
      <c r="Q90" s="22" t="inlineStr"/>
    </row>
    <row r="91">
      <c r="A91" s="11" t="inlineStr">
        <is>
          <t>2026-08-21 10:45</t>
        </is>
      </c>
      <c r="B91" s="11" t="inlineStr">
        <is>
          <t>BM-15012</t>
        </is>
      </c>
      <c r="C91" s="11" t="inlineStr">
        <is>
          <t>JZZ7C40</t>
        </is>
      </c>
      <c r="D91" s="25" t="inlineStr">
        <is>
          <t>Chevrolet Spin 1.8</t>
        </is>
      </c>
      <c r="E91" s="26" t="n">
        <v>94536</v>
      </c>
      <c r="F91" s="27" t="inlineStr">
        <is>
          <t>-</t>
        </is>
      </c>
      <c r="G91" s="26" t="n">
        <v>0</v>
      </c>
      <c r="H91" s="15" t="n">
        <v>51.14</v>
      </c>
      <c r="I91" s="15" t="n">
        <v>0</v>
      </c>
      <c r="J91" s="16" t="n">
        <v>6.26</v>
      </c>
      <c r="K91" s="16" t="n">
        <v>320.14</v>
      </c>
      <c r="L91" s="16" t="n">
        <v>0</v>
      </c>
      <c r="M91" s="11" t="inlineStr">
        <is>
          <t>Gasolina Comum</t>
        </is>
      </c>
      <c r="N91" s="25" t="inlineStr">
        <is>
          <t>Auto Posto Shell Santa Tecla (Bagé)</t>
        </is>
      </c>
      <c r="O91" s="11" t="inlineStr">
        <is>
          <t>Bagé</t>
        </is>
      </c>
      <c r="P91" s="25" t="inlineStr">
        <is>
          <t>Sd PM Souza</t>
        </is>
      </c>
      <c r="Q91" s="25" t="inlineStr">
        <is>
          <t>Primeiro registro do período (sem odômetro anterior para cálculo)</t>
        </is>
      </c>
    </row>
    <row r="92">
      <c r="A92" s="5" t="inlineStr">
        <is>
          <t>2026-08-24 03:48</t>
        </is>
      </c>
      <c r="B92" s="5" t="inlineStr">
        <is>
          <t>BM-15012</t>
        </is>
      </c>
      <c r="C92" s="5" t="inlineStr">
        <is>
          <t>JZZ7C40</t>
        </is>
      </c>
      <c r="D92" s="22" t="inlineStr">
        <is>
          <t>Chevrolet Spin 1.8</t>
        </is>
      </c>
      <c r="E92" s="23" t="n">
        <v>94835</v>
      </c>
      <c r="F92" s="23" t="n">
        <v>94536</v>
      </c>
      <c r="G92" s="23" t="n">
        <v>299</v>
      </c>
      <c r="H92" s="9" t="n">
        <v>35.06</v>
      </c>
      <c r="I92" s="9" t="n">
        <v>8.529999999999999</v>
      </c>
      <c r="J92" s="10" t="n">
        <v>6.11</v>
      </c>
      <c r="K92" s="10" t="n">
        <v>214.22</v>
      </c>
      <c r="L92" s="10" t="n">
        <v>0.72</v>
      </c>
      <c r="M92" s="5" t="inlineStr">
        <is>
          <t>Gasolina Comum</t>
        </is>
      </c>
      <c r="N92" s="22" t="inlineStr">
        <is>
          <t>Posto da Guarnição Militar Bagé</t>
        </is>
      </c>
      <c r="O92" s="5" t="inlineStr">
        <is>
          <t>Bagé</t>
        </is>
      </c>
      <c r="P92" s="22" t="inlineStr">
        <is>
          <t>Sd PM Santos</t>
        </is>
      </c>
      <c r="Q92" s="22" t="inlineStr"/>
    </row>
    <row r="93">
      <c r="A93" s="11" t="inlineStr">
        <is>
          <t>2026-08-25 06:49</t>
        </is>
      </c>
      <c r="B93" s="11" t="inlineStr">
        <is>
          <t>BM-15012</t>
        </is>
      </c>
      <c r="C93" s="11" t="inlineStr">
        <is>
          <t>JZZ7C40</t>
        </is>
      </c>
      <c r="D93" s="25" t="inlineStr">
        <is>
          <t>Chevrolet Spin 1.8</t>
        </is>
      </c>
      <c r="E93" s="26" t="n">
        <v>95266</v>
      </c>
      <c r="F93" s="26" t="n">
        <v>94835</v>
      </c>
      <c r="G93" s="26" t="n">
        <v>431</v>
      </c>
      <c r="H93" s="15" t="n">
        <v>47.93</v>
      </c>
      <c r="I93" s="15" t="n">
        <v>8.99</v>
      </c>
      <c r="J93" s="16" t="n">
        <v>6.17</v>
      </c>
      <c r="K93" s="16" t="n">
        <v>295.73</v>
      </c>
      <c r="L93" s="16" t="n">
        <v>0.6899999999999999</v>
      </c>
      <c r="M93" s="11" t="inlineStr">
        <is>
          <t>Gasolina Comum</t>
        </is>
      </c>
      <c r="N93" s="25" t="inlineStr">
        <is>
          <t>Posto Petrobras Centro Bagé</t>
        </is>
      </c>
      <c r="O93" s="11" t="inlineStr">
        <is>
          <t>Bagé</t>
        </is>
      </c>
      <c r="P93" s="25" t="inlineStr">
        <is>
          <t>Sd PM Oliveira</t>
        </is>
      </c>
      <c r="Q93" s="25" t="inlineStr"/>
    </row>
    <row r="94">
      <c r="A94" s="5" t="inlineStr">
        <is>
          <t>2026-08-26 08:03</t>
        </is>
      </c>
      <c r="B94" s="5" t="inlineStr">
        <is>
          <t>BM-15012</t>
        </is>
      </c>
      <c r="C94" s="5" t="inlineStr">
        <is>
          <t>JZZ7C40</t>
        </is>
      </c>
      <c r="D94" s="22" t="inlineStr">
        <is>
          <t>Chevrolet Spin 1.8</t>
        </is>
      </c>
      <c r="E94" s="23" t="n">
        <v>95602</v>
      </c>
      <c r="F94" s="23" t="n">
        <v>95266</v>
      </c>
      <c r="G94" s="23" t="n">
        <v>336</v>
      </c>
      <c r="H94" s="9" t="n">
        <v>38.96</v>
      </c>
      <c r="I94" s="9" t="n">
        <v>8.619999999999999</v>
      </c>
      <c r="J94" s="10" t="n">
        <v>6.19</v>
      </c>
      <c r="K94" s="10" t="n">
        <v>241.16</v>
      </c>
      <c r="L94" s="10" t="n">
        <v>0.72</v>
      </c>
      <c r="M94" s="5" t="inlineStr">
        <is>
          <t>Gasolina Comum</t>
        </is>
      </c>
      <c r="N94" s="22" t="inlineStr">
        <is>
          <t>Posto Ipiranga Tiaraju (Bagé)</t>
        </is>
      </c>
      <c r="O94" s="5" t="inlineStr">
        <is>
          <t>Bagé</t>
        </is>
      </c>
      <c r="P94" s="22" t="inlineStr">
        <is>
          <t>Sd PM Silva</t>
        </is>
      </c>
      <c r="Q94" s="22" t="inlineStr"/>
    </row>
    <row r="95">
      <c r="A95" s="11" t="inlineStr">
        <is>
          <t>2026-09-01 09:15</t>
        </is>
      </c>
      <c r="B95" s="11" t="inlineStr">
        <is>
          <t>BM-15012</t>
        </is>
      </c>
      <c r="C95" s="11" t="inlineStr">
        <is>
          <t>JZZ7C40</t>
        </is>
      </c>
      <c r="D95" s="25" t="inlineStr">
        <is>
          <t>Chevrolet Spin 1.8</t>
        </is>
      </c>
      <c r="E95" s="26" t="n">
        <v>95885</v>
      </c>
      <c r="F95" s="26" t="n">
        <v>95602</v>
      </c>
      <c r="G95" s="26" t="n">
        <v>283</v>
      </c>
      <c r="H95" s="15" t="n">
        <v>33.11</v>
      </c>
      <c r="I95" s="15" t="n">
        <v>8.550000000000001</v>
      </c>
      <c r="J95" s="16" t="n">
        <v>6.05</v>
      </c>
      <c r="K95" s="16" t="n">
        <v>200.32</v>
      </c>
      <c r="L95" s="16" t="n">
        <v>0.71</v>
      </c>
      <c r="M95" s="11" t="inlineStr">
        <is>
          <t>Gasolina Comum</t>
        </is>
      </c>
      <c r="N95" s="25" t="inlineStr">
        <is>
          <t>Auto Posto Shell Santa Tecla (Bagé)</t>
        </is>
      </c>
      <c r="O95" s="11" t="inlineStr">
        <is>
          <t>Bagé</t>
        </is>
      </c>
      <c r="P95" s="25" t="inlineStr">
        <is>
          <t>Sd PM Silva</t>
        </is>
      </c>
      <c r="Q95" s="25" t="inlineStr"/>
    </row>
    <row r="96">
      <c r="A96" s="5" t="inlineStr">
        <is>
          <t>2026-09-01 21:55</t>
        </is>
      </c>
      <c r="B96" s="5" t="inlineStr">
        <is>
          <t>BM-15012</t>
        </is>
      </c>
      <c r="C96" s="5" t="inlineStr">
        <is>
          <t>JZZ7C40</t>
        </is>
      </c>
      <c r="D96" s="22" t="inlineStr">
        <is>
          <t>Chevrolet Spin 1.8</t>
        </is>
      </c>
      <c r="E96" s="23" t="n">
        <v>96214</v>
      </c>
      <c r="F96" s="23" t="n">
        <v>95885</v>
      </c>
      <c r="G96" s="23" t="n">
        <v>329</v>
      </c>
      <c r="H96" s="9" t="n">
        <v>37.33</v>
      </c>
      <c r="I96" s="9" t="n">
        <v>8.81</v>
      </c>
      <c r="J96" s="10" t="n">
        <v>6.19</v>
      </c>
      <c r="K96" s="10" t="n">
        <v>231.07</v>
      </c>
      <c r="L96" s="10" t="n">
        <v>0.7</v>
      </c>
      <c r="M96" s="5" t="inlineStr">
        <is>
          <t>Gasolina Comum</t>
        </is>
      </c>
      <c r="N96" s="22" t="inlineStr">
        <is>
          <t>Posto Ipiranga Tiaraju (Bagé)</t>
        </is>
      </c>
      <c r="O96" s="5" t="inlineStr">
        <is>
          <t>Bagé</t>
        </is>
      </c>
      <c r="P96" s="22" t="inlineStr">
        <is>
          <t>Sd PM Silva</t>
        </is>
      </c>
      <c r="Q96" s="22" t="inlineStr"/>
    </row>
    <row r="97">
      <c r="A97" s="11" t="inlineStr">
        <is>
          <t>2026-09-06 06:39</t>
        </is>
      </c>
      <c r="B97" s="11" t="inlineStr">
        <is>
          <t>BM-15012</t>
        </is>
      </c>
      <c r="C97" s="11" t="inlineStr">
        <is>
          <t>JZZ7C40</t>
        </is>
      </c>
      <c r="D97" s="25" t="inlineStr">
        <is>
          <t>Chevrolet Spin 1.8</t>
        </is>
      </c>
      <c r="E97" s="26" t="n">
        <v>96583</v>
      </c>
      <c r="F97" s="26" t="n">
        <v>96214</v>
      </c>
      <c r="G97" s="26" t="n">
        <v>369</v>
      </c>
      <c r="H97" s="15" t="n">
        <v>42.26</v>
      </c>
      <c r="I97" s="15" t="n">
        <v>8.73</v>
      </c>
      <c r="J97" s="16" t="n">
        <v>6.06</v>
      </c>
      <c r="K97" s="16" t="n">
        <v>256.1</v>
      </c>
      <c r="L97" s="16" t="n">
        <v>0.6899999999999999</v>
      </c>
      <c r="M97" s="11" t="inlineStr">
        <is>
          <t>Gasolina Comum</t>
        </is>
      </c>
      <c r="N97" s="25" t="inlineStr">
        <is>
          <t>Posto Petrobras Centro Bagé</t>
        </is>
      </c>
      <c r="O97" s="11" t="inlineStr">
        <is>
          <t>Bagé</t>
        </is>
      </c>
      <c r="P97" s="25" t="inlineStr">
        <is>
          <t>Sd PM Rodrigues</t>
        </is>
      </c>
      <c r="Q97" s="25" t="inlineStr"/>
    </row>
    <row r="98">
      <c r="A98" s="5" t="inlineStr">
        <is>
          <t>2026-09-09 02:13</t>
        </is>
      </c>
      <c r="B98" s="5" t="inlineStr">
        <is>
          <t>BM-15012</t>
        </is>
      </c>
      <c r="C98" s="5" t="inlineStr">
        <is>
          <t>JZZ7C40</t>
        </is>
      </c>
      <c r="D98" s="22" t="inlineStr">
        <is>
          <t>Chevrolet Spin 1.8</t>
        </is>
      </c>
      <c r="E98" s="23" t="n">
        <v>96944</v>
      </c>
      <c r="F98" s="23" t="n">
        <v>96583</v>
      </c>
      <c r="G98" s="23" t="n">
        <v>361</v>
      </c>
      <c r="H98" s="9" t="n">
        <v>40.73</v>
      </c>
      <c r="I98" s="9" t="n">
        <v>8.859999999999999</v>
      </c>
      <c r="J98" s="10" t="n">
        <v>6.25</v>
      </c>
      <c r="K98" s="10" t="n">
        <v>254.56</v>
      </c>
      <c r="L98" s="10" t="n">
        <v>0.71</v>
      </c>
      <c r="M98" s="5" t="inlineStr">
        <is>
          <t>Gasolina Comum</t>
        </is>
      </c>
      <c r="N98" s="22" t="inlineStr">
        <is>
          <t>Posto da Guarnição Militar Bagé</t>
        </is>
      </c>
      <c r="O98" s="5" t="inlineStr">
        <is>
          <t>Bagé</t>
        </is>
      </c>
      <c r="P98" s="22" t="inlineStr">
        <is>
          <t>Sd PM Santos</t>
        </is>
      </c>
      <c r="Q98" s="22" t="inlineStr"/>
    </row>
    <row r="99">
      <c r="A99" s="11" t="inlineStr">
        <is>
          <t>2026-09-15 11:15</t>
        </is>
      </c>
      <c r="B99" s="11" t="inlineStr">
        <is>
          <t>BM-15012</t>
        </is>
      </c>
      <c r="C99" s="11" t="inlineStr">
        <is>
          <t>JZZ7C40</t>
        </is>
      </c>
      <c r="D99" s="25" t="inlineStr">
        <is>
          <t>Chevrolet Spin 1.8</t>
        </is>
      </c>
      <c r="E99" s="26" t="n">
        <v>97399</v>
      </c>
      <c r="F99" s="26" t="n">
        <v>96944</v>
      </c>
      <c r="G99" s="26" t="n">
        <v>455</v>
      </c>
      <c r="H99" s="15" t="n">
        <v>50.28</v>
      </c>
      <c r="I99" s="15" t="n">
        <v>9.050000000000001</v>
      </c>
      <c r="J99" s="16" t="n">
        <v>6.22</v>
      </c>
      <c r="K99" s="16" t="n">
        <v>312.74</v>
      </c>
      <c r="L99" s="16" t="n">
        <v>0.6899999999999999</v>
      </c>
      <c r="M99" s="11" t="inlineStr">
        <is>
          <t>Gasolina Comum</t>
        </is>
      </c>
      <c r="N99" s="25" t="inlineStr">
        <is>
          <t>Auto Posto Shell Santa Tecla (Bagé)</t>
        </is>
      </c>
      <c r="O99" s="11" t="inlineStr">
        <is>
          <t>Bagé</t>
        </is>
      </c>
      <c r="P99" s="25" t="inlineStr">
        <is>
          <t>Sd PM Pereira</t>
        </is>
      </c>
      <c r="Q99" s="25" t="inlineStr"/>
    </row>
    <row r="100">
      <c r="A100" s="5" t="inlineStr">
        <is>
          <t>2026-09-15 23:03</t>
        </is>
      </c>
      <c r="B100" s="5" t="inlineStr">
        <is>
          <t>BM-15012</t>
        </is>
      </c>
      <c r="C100" s="5" t="inlineStr">
        <is>
          <t>JZZ7C40</t>
        </is>
      </c>
      <c r="D100" s="22" t="inlineStr">
        <is>
          <t>Chevrolet Spin 1.8</t>
        </is>
      </c>
      <c r="E100" s="23" t="n">
        <v>97738</v>
      </c>
      <c r="F100" s="23" t="n">
        <v>97399</v>
      </c>
      <c r="G100" s="23" t="n">
        <v>339</v>
      </c>
      <c r="H100" s="9" t="n">
        <v>39.99</v>
      </c>
      <c r="I100" s="9" t="n">
        <v>8.48</v>
      </c>
      <c r="J100" s="10" t="n">
        <v>6.29</v>
      </c>
      <c r="K100" s="10" t="n">
        <v>251.54</v>
      </c>
      <c r="L100" s="10" t="n">
        <v>0.74</v>
      </c>
      <c r="M100" s="5" t="inlineStr">
        <is>
          <t>Gasolina Comum</t>
        </is>
      </c>
      <c r="N100" s="22" t="inlineStr">
        <is>
          <t>Auto Posto Shell Santa Tecla (Bagé)</t>
        </is>
      </c>
      <c r="O100" s="5" t="inlineStr">
        <is>
          <t>Bagé</t>
        </is>
      </c>
      <c r="P100" s="22" t="inlineStr">
        <is>
          <t>Sd PM Rodrigues</t>
        </is>
      </c>
      <c r="Q100" s="22" t="inlineStr"/>
    </row>
    <row r="101">
      <c r="A101" s="11" t="inlineStr">
        <is>
          <t>2026-09-18 23:06</t>
        </is>
      </c>
      <c r="B101" s="11" t="inlineStr">
        <is>
          <t>BM-15012</t>
        </is>
      </c>
      <c r="C101" s="11" t="inlineStr">
        <is>
          <t>JZZ7C40</t>
        </is>
      </c>
      <c r="D101" s="25" t="inlineStr">
        <is>
          <t>Chevrolet Spin 1.8</t>
        </is>
      </c>
      <c r="E101" s="26" t="n">
        <v>98163</v>
      </c>
      <c r="F101" s="26" t="n">
        <v>97738</v>
      </c>
      <c r="G101" s="26" t="n">
        <v>425</v>
      </c>
      <c r="H101" s="15" t="n">
        <v>51.72</v>
      </c>
      <c r="I101" s="15" t="n">
        <v>8.220000000000001</v>
      </c>
      <c r="J101" s="16" t="n">
        <v>6.11</v>
      </c>
      <c r="K101" s="16" t="n">
        <v>316.01</v>
      </c>
      <c r="L101" s="16" t="n">
        <v>0.74</v>
      </c>
      <c r="M101" s="11" t="inlineStr">
        <is>
          <t>Gasolina Comum</t>
        </is>
      </c>
      <c r="N101" s="25" t="inlineStr">
        <is>
          <t>Posto Petrobras Centro Bagé</t>
        </is>
      </c>
      <c r="O101" s="11" t="inlineStr">
        <is>
          <t>Bagé</t>
        </is>
      </c>
      <c r="P101" s="25" t="inlineStr">
        <is>
          <t>Sd PM Ferreira</t>
        </is>
      </c>
      <c r="Q101" s="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12" customWidth="1" min="9" max="9"/>
    <col width="36" customWidth="1" min="10" max="10"/>
  </cols>
  <sheetData>
    <row r="1" ht="25" customHeight="1">
      <c r="A1" s="28" t="inlineStr">
        <is>
          <t>Data / Hora</t>
        </is>
      </c>
      <c r="B1" s="28" t="inlineStr">
        <is>
          <t>Prefixo</t>
        </is>
      </c>
      <c r="C1" s="28" t="inlineStr">
        <is>
          <t>Placa</t>
        </is>
      </c>
      <c r="D1" s="28" t="inlineStr">
        <is>
          <t>Odômetro</t>
        </is>
      </c>
      <c r="E1" s="28" t="inlineStr">
        <is>
          <t>Km Anterior</t>
        </is>
      </c>
      <c r="F1" s="28" t="inlineStr">
        <is>
          <t>Km Rodado</t>
        </is>
      </c>
      <c r="G1" s="28" t="inlineStr">
        <is>
          <t>Litros</t>
        </is>
      </c>
      <c r="H1" s="28" t="inlineStr">
        <is>
          <t>Consumo (km/l)</t>
        </is>
      </c>
      <c r="I1" s="28" t="inlineStr">
        <is>
          <t>Posto</t>
        </is>
      </c>
      <c r="J1" s="28" t="inlineStr">
        <is>
          <t>Motivo do Alerta / Inconsistência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2026-09-23T18:38:56Z</dcterms:created>
  <dcterms:modified xsi:type="dcterms:W3CDTF">2026-09-23T18:38:56Z</dcterms:modified>
</cp:coreProperties>
</file>