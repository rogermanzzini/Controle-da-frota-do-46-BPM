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0" customWidth="1" min="2" max="2"/>
    <col width="21" customWidth="1" min="3" max="3"/>
    <col width="31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16:09</t>
        </is>
      </c>
    </row>
    <row r="3"/>
    <row r="4">
      <c r="B4" s="3" t="inlineStr">
        <is>
          <t>Viaturas Monitoradas
8 vtrs</t>
        </is>
      </c>
      <c r="E4" s="3" t="inlineStr">
        <is>
          <t>Km Total Rodado
46,131.0 km</t>
        </is>
      </c>
      <c r="H4" s="3" t="inlineStr">
        <is>
          <t>Litros Abastecidos
5,500.03 L</t>
        </is>
      </c>
      <c r="K4" s="3" t="inlineStr">
        <is>
          <t>Consumo Médio Geral
9.16 km/l</t>
        </is>
      </c>
      <c r="N4" s="3" t="inlineStr">
        <is>
          <t>Gasto Total (R$)
R$ 34,105.70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IXO8A12</t>
        </is>
      </c>
      <c r="C9" s="6" t="inlineStr">
        <is>
          <t>46º BPM</t>
        </is>
      </c>
      <c r="D9" s="5" t="inlineStr">
        <is>
          <t>46º BPM - Bagé</t>
        </is>
      </c>
      <c r="E9" s="7" t="n">
        <v>24</v>
      </c>
      <c r="F9" s="8" t="n">
        <v>42541</v>
      </c>
      <c r="G9" s="8" t="n">
        <v>46667</v>
      </c>
      <c r="H9" s="8" t="n">
        <v>8252</v>
      </c>
      <c r="I9" s="9" t="n">
        <v>1061.2</v>
      </c>
      <c r="J9" s="9" t="n">
        <v>8.449999999999999</v>
      </c>
      <c r="K9" s="10" t="n">
        <v>6595.3</v>
      </c>
      <c r="L9" s="10" t="n">
        <v>0.8</v>
      </c>
      <c r="M9" s="7" t="n">
        <v>0</v>
      </c>
    </row>
    <row r="10">
      <c r="A10" s="11" t="inlineStr"/>
      <c r="B10" s="11" t="inlineStr">
        <is>
          <t>JBG9A87</t>
        </is>
      </c>
      <c r="C10" s="12" t="inlineStr">
        <is>
          <t>46º BPM</t>
        </is>
      </c>
      <c r="D10" s="11" t="inlineStr">
        <is>
          <t>46º BPM - Bagé</t>
        </is>
      </c>
      <c r="E10" s="13" t="n">
        <v>20</v>
      </c>
      <c r="F10" s="14" t="n">
        <v>68791</v>
      </c>
      <c r="G10" s="14" t="n">
        <v>72013</v>
      </c>
      <c r="H10" s="14" t="n">
        <v>6444</v>
      </c>
      <c r="I10" s="15" t="n">
        <v>776.4</v>
      </c>
      <c r="J10" s="15" t="n">
        <v>9.34</v>
      </c>
      <c r="K10" s="16" t="n">
        <v>4728.22</v>
      </c>
      <c r="L10" s="16" t="n">
        <v>0.73</v>
      </c>
      <c r="M10" s="13" t="n">
        <v>0</v>
      </c>
    </row>
    <row r="11">
      <c r="A11" s="5" t="inlineStr"/>
      <c r="B11" s="5" t="inlineStr">
        <is>
          <t>JCY4B11</t>
        </is>
      </c>
      <c r="C11" s="6" t="inlineStr">
        <is>
          <t>46º BPM</t>
        </is>
      </c>
      <c r="D11" s="5" t="inlineStr">
        <is>
          <t>46º BPM - Bagé</t>
        </is>
      </c>
      <c r="E11" s="7" t="n">
        <v>20</v>
      </c>
      <c r="F11" s="8" t="n">
        <v>31518</v>
      </c>
      <c r="G11" s="8" t="n">
        <v>35434</v>
      </c>
      <c r="H11" s="8" t="n">
        <v>7832</v>
      </c>
      <c r="I11" s="9" t="n">
        <v>857.62</v>
      </c>
      <c r="J11" s="9" t="n">
        <v>10.34</v>
      </c>
      <c r="K11" s="10" t="n">
        <v>5491.84</v>
      </c>
      <c r="L11" s="10" t="n">
        <v>0.7</v>
      </c>
      <c r="M11" s="7" t="n">
        <v>0</v>
      </c>
    </row>
    <row r="12">
      <c r="A12" s="11" t="inlineStr">
        <is>
          <t>BM-12451</t>
        </is>
      </c>
      <c r="B12" s="11" t="inlineStr">
        <is>
          <t>IXO8A15</t>
        </is>
      </c>
      <c r="C12" s="12" t="inlineStr">
        <is>
          <t>Renault Duster 1.6</t>
        </is>
      </c>
      <c r="D12" s="11" t="inlineStr">
        <is>
          <t>1ª Companhia - Bagé</t>
        </is>
      </c>
      <c r="E12" s="13" t="n">
        <v>15</v>
      </c>
      <c r="F12" s="14" t="n">
        <v>51495</v>
      </c>
      <c r="G12" s="14" t="n">
        <v>56489</v>
      </c>
      <c r="H12" s="14" t="n">
        <v>4994</v>
      </c>
      <c r="I12" s="15" t="n">
        <v>635.83</v>
      </c>
      <c r="J12" s="15" t="n">
        <v>8.35</v>
      </c>
      <c r="K12" s="16" t="n">
        <v>3938.11</v>
      </c>
      <c r="L12" s="16" t="n">
        <v>0.79</v>
      </c>
      <c r="M12" s="13" t="n">
        <v>0</v>
      </c>
    </row>
    <row r="13">
      <c r="A13" s="5" t="inlineStr">
        <is>
          <t>BM-13105</t>
        </is>
      </c>
      <c r="B13" s="5" t="inlineStr">
        <is>
          <t>JBG9A90</t>
        </is>
      </c>
      <c r="C13" s="6" t="inlineStr">
        <is>
          <t>Toyota Hilux 4x4</t>
        </is>
      </c>
      <c r="D13" s="5" t="inlineStr">
        <is>
          <t>Patrulha Rural - Bagé</t>
        </is>
      </c>
      <c r="E13" s="7" t="n">
        <v>15</v>
      </c>
      <c r="F13" s="8" t="n">
        <v>79509</v>
      </c>
      <c r="G13" s="8" t="n">
        <v>84901</v>
      </c>
      <c r="H13" s="8" t="n">
        <v>5392</v>
      </c>
      <c r="I13" s="9" t="n">
        <v>633.49</v>
      </c>
      <c r="J13" s="9" t="n">
        <v>9.130000000000001</v>
      </c>
      <c r="K13" s="10" t="n">
        <v>3863.87</v>
      </c>
      <c r="L13" s="10" t="n">
        <v>0.72</v>
      </c>
      <c r="M13" s="7" t="n">
        <v>0</v>
      </c>
    </row>
    <row r="14">
      <c r="A14" s="11" t="inlineStr">
        <is>
          <t>BM-14205</t>
        </is>
      </c>
      <c r="B14" s="11" t="inlineStr">
        <is>
          <t>JCY4B15</t>
        </is>
      </c>
      <c r="C14" s="12" t="inlineStr">
        <is>
          <t>Toyota Corolla 2.0</t>
        </is>
      </c>
      <c r="D14" s="11" t="inlineStr">
        <is>
          <t>1ª Cia - Rádio Patrulha</t>
        </is>
      </c>
      <c r="E14" s="13" t="n">
        <v>14</v>
      </c>
      <c r="F14" s="14" t="n">
        <v>34931</v>
      </c>
      <c r="G14" s="14" t="n">
        <v>40351</v>
      </c>
      <c r="H14" s="14" t="n">
        <v>5420</v>
      </c>
      <c r="I14" s="15" t="n">
        <v>583.26</v>
      </c>
      <c r="J14" s="15" t="n">
        <v>9.98</v>
      </c>
      <c r="K14" s="16" t="n">
        <v>3606.19</v>
      </c>
      <c r="L14" s="16" t="n">
        <v>0.67</v>
      </c>
      <c r="M14" s="13" t="n">
        <v>0</v>
      </c>
    </row>
    <row r="15">
      <c r="A15" s="5" t="inlineStr">
        <is>
          <t>BM-15010</t>
        </is>
      </c>
      <c r="B15" s="5" t="inlineStr">
        <is>
          <t>JZZ7C34</t>
        </is>
      </c>
      <c r="C15" s="6" t="inlineStr">
        <is>
          <t>Chevrolet Spin 1.8</t>
        </is>
      </c>
      <c r="D15" s="5" t="inlineStr">
        <is>
          <t>2ª Companhia - Caçapava</t>
        </is>
      </c>
      <c r="E15" s="7" t="n">
        <v>10</v>
      </c>
      <c r="F15" s="8" t="n">
        <v>88621</v>
      </c>
      <c r="G15" s="8" t="n">
        <v>91979</v>
      </c>
      <c r="H15" s="8" t="n">
        <v>3358</v>
      </c>
      <c r="I15" s="9" t="n">
        <v>414.15</v>
      </c>
      <c r="J15" s="9" t="n">
        <v>8.869999999999999</v>
      </c>
      <c r="K15" s="10" t="n">
        <v>2556.99</v>
      </c>
      <c r="L15" s="10" t="n">
        <v>0.76</v>
      </c>
      <c r="M15" s="7" t="n">
        <v>0</v>
      </c>
    </row>
    <row r="16">
      <c r="A16" s="11" t="inlineStr">
        <is>
          <t>BM-15012</t>
        </is>
      </c>
      <c r="B16" s="11" t="inlineStr">
        <is>
          <t>JZZ7C40</t>
        </is>
      </c>
      <c r="C16" s="12" t="inlineStr">
        <is>
          <t>Chevrolet Spin 1.8</t>
        </is>
      </c>
      <c r="D16" s="11" t="inlineStr">
        <is>
          <t>2ª Companhia - Lavras do Sul</t>
        </is>
      </c>
      <c r="E16" s="13" t="n">
        <v>13</v>
      </c>
      <c r="F16" s="14" t="n">
        <v>94412</v>
      </c>
      <c r="G16" s="14" t="n">
        <v>98851</v>
      </c>
      <c r="H16" s="14" t="n">
        <v>4439</v>
      </c>
      <c r="I16" s="15" t="n">
        <v>538.08</v>
      </c>
      <c r="J16" s="15" t="n">
        <v>8.82</v>
      </c>
      <c r="K16" s="16" t="n">
        <v>3325.18</v>
      </c>
      <c r="L16" s="16" t="n">
        <v>0.75</v>
      </c>
      <c r="M16" s="13" t="n">
        <v>0</v>
      </c>
    </row>
    <row r="17">
      <c r="A17" s="17" t="inlineStr">
        <is>
          <t>TOTAL GERAL</t>
        </is>
      </c>
      <c r="E17" s="18">
        <f>SUM(E9:E16)</f>
        <v/>
      </c>
      <c r="H17" s="19">
        <f>SUM(H9:H16)</f>
        <v/>
      </c>
      <c r="I17" s="20">
        <f>SUM(I9:I16)</f>
        <v/>
      </c>
      <c r="J17" s="20">
        <f>IF(I17&gt;0, H17/I17, 0)</f>
        <v/>
      </c>
      <c r="K17" s="21">
        <f>SUM(K9:K16)</f>
        <v/>
      </c>
      <c r="L17" s="21">
        <f>IF(H17&gt;0, K17/H17, 0)</f>
        <v/>
      </c>
      <c r="M17" s="18">
        <f>SUM(M9:M16)</f>
        <v/>
      </c>
    </row>
  </sheetData>
  <mergeCells count="6">
    <mergeCell ref="N4:O5"/>
    <mergeCell ref="A17:D17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1" customWidth="1" min="13" max="13"/>
    <col width="35" customWidth="1" min="14" max="14"/>
    <col width="11" customWidth="1" min="15" max="15"/>
    <col width="18" customWidth="1" min="16" max="16"/>
    <col width="14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2026-09-23 11:19</t>
        </is>
      </c>
      <c r="B2" s="5" t="inlineStr">
        <is>
          <t>BM-15012</t>
        </is>
      </c>
      <c r="C2" s="5" t="inlineStr">
        <is>
          <t>JZZ7C40</t>
        </is>
      </c>
      <c r="D2" s="22" t="inlineStr">
        <is>
          <t>Chevrolet Spin 1.8</t>
        </is>
      </c>
      <c r="E2" s="23" t="n">
        <v>98851</v>
      </c>
      <c r="F2" s="23" t="n">
        <v>98453</v>
      </c>
      <c r="G2" s="23" t="n">
        <v>398</v>
      </c>
      <c r="H2" s="9" t="n">
        <v>44.11</v>
      </c>
      <c r="I2" s="9" t="n">
        <v>9.02</v>
      </c>
      <c r="J2" s="10" t="n">
        <v>6.11</v>
      </c>
      <c r="K2" s="10" t="n">
        <v>269.51</v>
      </c>
      <c r="L2" s="10" t="n">
        <v>0.68</v>
      </c>
      <c r="M2" s="5" t="inlineStr">
        <is>
          <t>Gasolina Comum</t>
        </is>
      </c>
      <c r="N2" s="22" t="inlineStr">
        <is>
          <t>Posto Petrobras Centro Bagé</t>
        </is>
      </c>
      <c r="O2" s="5" t="inlineStr">
        <is>
          <t>Bagé</t>
        </is>
      </c>
      <c r="P2" s="22" t="inlineStr">
        <is>
          <t>Sd PM Pereira</t>
        </is>
      </c>
      <c r="Q2" s="22" t="inlineStr"/>
    </row>
    <row r="3">
      <c r="A3" s="11" t="inlineStr">
        <is>
          <t>2026-09-23 11:19</t>
        </is>
      </c>
      <c r="B3" s="11" t="inlineStr">
        <is>
          <t>BM-15010</t>
        </is>
      </c>
      <c r="C3" s="11" t="inlineStr">
        <is>
          <t>JZZ7C34</t>
        </is>
      </c>
      <c r="D3" s="24" t="inlineStr">
        <is>
          <t>Chevrolet Spin 1.8</t>
        </is>
      </c>
      <c r="E3" s="25" t="n">
        <v>91979</v>
      </c>
      <c r="F3" s="25" t="n">
        <v>91554</v>
      </c>
      <c r="G3" s="25" t="n">
        <v>425</v>
      </c>
      <c r="H3" s="15" t="n">
        <v>46.15</v>
      </c>
      <c r="I3" s="15" t="n">
        <v>9.210000000000001</v>
      </c>
      <c r="J3" s="16" t="n">
        <v>6.26</v>
      </c>
      <c r="K3" s="16" t="n">
        <v>288.9</v>
      </c>
      <c r="L3" s="16" t="n">
        <v>0.68</v>
      </c>
      <c r="M3" s="11" t="inlineStr">
        <is>
          <t>Gasolina Comum</t>
        </is>
      </c>
      <c r="N3" s="24" t="inlineStr">
        <is>
          <t>Posto Ipiranga Tiaraju (Bagé)</t>
        </is>
      </c>
      <c r="O3" s="11" t="inlineStr">
        <is>
          <t>Bagé</t>
        </is>
      </c>
      <c r="P3" s="24" t="inlineStr">
        <is>
          <t>Sd PM Souza</t>
        </is>
      </c>
      <c r="Q3" s="24" t="inlineStr"/>
    </row>
    <row r="4">
      <c r="A4" s="5" t="inlineStr">
        <is>
          <t>2026-09-23 11:19</t>
        </is>
      </c>
      <c r="B4" s="5" t="inlineStr">
        <is>
          <t>BM-12451</t>
        </is>
      </c>
      <c r="C4" s="5" t="inlineStr">
        <is>
          <t>IXO8A15</t>
        </is>
      </c>
      <c r="D4" s="22" t="inlineStr">
        <is>
          <t>Renault Duster 1.6</t>
        </is>
      </c>
      <c r="E4" s="23" t="n">
        <v>56489</v>
      </c>
      <c r="F4" s="23" t="n">
        <v>56155</v>
      </c>
      <c r="G4" s="23" t="n">
        <v>334</v>
      </c>
      <c r="H4" s="9" t="n">
        <v>42.37</v>
      </c>
      <c r="I4" s="9" t="n">
        <v>7.88</v>
      </c>
      <c r="J4" s="10" t="n">
        <v>6.1</v>
      </c>
      <c r="K4" s="10" t="n">
        <v>258.46</v>
      </c>
      <c r="L4" s="10" t="n">
        <v>0.77</v>
      </c>
      <c r="M4" s="5" t="inlineStr">
        <is>
          <t>Gasolina Comum</t>
        </is>
      </c>
      <c r="N4" s="22" t="inlineStr">
        <is>
          <t>Posto Ipiranga Tiaraju (Bagé)</t>
        </is>
      </c>
      <c r="O4" s="5" t="inlineStr">
        <is>
          <t>Bagé</t>
        </is>
      </c>
      <c r="P4" s="22" t="inlineStr">
        <is>
          <t>Sd PM Souza</t>
        </is>
      </c>
      <c r="Q4" s="22" t="inlineStr"/>
    </row>
    <row r="5">
      <c r="A5" s="11" t="inlineStr">
        <is>
          <t>2026-09-22 00:43</t>
        </is>
      </c>
      <c r="B5" s="11" t="inlineStr">
        <is>
          <t>BM-12450</t>
        </is>
      </c>
      <c r="C5" s="11" t="inlineStr">
        <is>
          <t>IXO8A12</t>
        </is>
      </c>
      <c r="D5" s="24" t="inlineStr">
        <is>
          <t>46º BPM</t>
        </is>
      </c>
      <c r="E5" s="25" t="n">
        <v>46667</v>
      </c>
      <c r="F5" s="25" t="n">
        <v>46257</v>
      </c>
      <c r="G5" s="25" t="n">
        <v>410</v>
      </c>
      <c r="H5" s="15" t="n">
        <v>46.77</v>
      </c>
      <c r="I5" s="15" t="n">
        <v>8.77</v>
      </c>
      <c r="J5" s="16" t="n">
        <v>6.31</v>
      </c>
      <c r="K5" s="16" t="n">
        <v>295.12</v>
      </c>
      <c r="L5" s="16" t="n">
        <v>0.72</v>
      </c>
      <c r="M5" s="11" t="inlineStr">
        <is>
          <t>Gasolina Comum</t>
        </is>
      </c>
      <c r="N5" s="24" t="inlineStr">
        <is>
          <t>Posto da Guarnição Militar Bagé</t>
        </is>
      </c>
      <c r="O5" s="11" t="inlineStr">
        <is>
          <t>Bagé</t>
        </is>
      </c>
      <c r="P5" s="24" t="inlineStr">
        <is>
          <t>Sd PM Souza</t>
        </is>
      </c>
      <c r="Q5" s="24" t="inlineStr"/>
    </row>
    <row r="6">
      <c r="A6" s="5" t="inlineStr">
        <is>
          <t>2026-09-22 00:43</t>
        </is>
      </c>
      <c r="B6" s="5" t="inlineStr">
        <is>
          <t>BM-15010</t>
        </is>
      </c>
      <c r="C6" s="5" t="inlineStr">
        <is>
          <t>JZZ7C34</t>
        </is>
      </c>
      <c r="D6" s="22" t="inlineStr">
        <is>
          <t>Chevrolet Spin 1.8</t>
        </is>
      </c>
      <c r="E6" s="23" t="n">
        <v>91554</v>
      </c>
      <c r="F6" s="23" t="n">
        <v>91145</v>
      </c>
      <c r="G6" s="23" t="n">
        <v>409</v>
      </c>
      <c r="H6" s="9" t="n">
        <v>43.98</v>
      </c>
      <c r="I6" s="9" t="n">
        <v>9.300000000000001</v>
      </c>
      <c r="J6" s="10" t="n">
        <v>6.26</v>
      </c>
      <c r="K6" s="10" t="n">
        <v>275.31</v>
      </c>
      <c r="L6" s="10" t="n">
        <v>0.67</v>
      </c>
      <c r="M6" s="5" t="inlineStr">
        <is>
          <t>Gasolina Comum</t>
        </is>
      </c>
      <c r="N6" s="22" t="inlineStr">
        <is>
          <t>Auto Posto Shell Santa Tecla (Bagé)</t>
        </is>
      </c>
      <c r="O6" s="5" t="inlineStr">
        <is>
          <t>Bagé</t>
        </is>
      </c>
      <c r="P6" s="22" t="inlineStr">
        <is>
          <t>Sd PM Oliveira</t>
        </is>
      </c>
      <c r="Q6" s="22" t="inlineStr"/>
    </row>
    <row r="7">
      <c r="A7" s="11" t="inlineStr">
        <is>
          <t>2026-09-22 00:43</t>
        </is>
      </c>
      <c r="B7" s="11" t="inlineStr">
        <is>
          <t>BM-13105</t>
        </is>
      </c>
      <c r="C7" s="11" t="inlineStr">
        <is>
          <t>JBG9A90</t>
        </is>
      </c>
      <c r="D7" s="24" t="inlineStr">
        <is>
          <t>Toyota Hilux 4x4</t>
        </is>
      </c>
      <c r="E7" s="25" t="n">
        <v>84901</v>
      </c>
      <c r="F7" s="25" t="n">
        <v>84547</v>
      </c>
      <c r="G7" s="25" t="n">
        <v>354</v>
      </c>
      <c r="H7" s="15" t="n">
        <v>37.81</v>
      </c>
      <c r="I7" s="15" t="n">
        <v>9.359999999999999</v>
      </c>
      <c r="J7" s="16" t="n">
        <v>6.17</v>
      </c>
      <c r="K7" s="16" t="n">
        <v>233.29</v>
      </c>
      <c r="L7" s="16" t="n">
        <v>0.66</v>
      </c>
      <c r="M7" s="11" t="inlineStr">
        <is>
          <t>Diesel S10</t>
        </is>
      </c>
      <c r="N7" s="24" t="inlineStr">
        <is>
          <t>Posto Ipiranga Tiaraju (Bagé)</t>
        </is>
      </c>
      <c r="O7" s="11" t="inlineStr">
        <is>
          <t>Bagé</t>
        </is>
      </c>
      <c r="P7" s="24" t="inlineStr">
        <is>
          <t>Sd PM Souza</t>
        </is>
      </c>
      <c r="Q7" s="24" t="inlineStr"/>
    </row>
    <row r="8">
      <c r="A8" s="5" t="inlineStr">
        <is>
          <t>2026-09-22 00:43</t>
        </is>
      </c>
      <c r="B8" s="5" t="inlineStr">
        <is>
          <t>BM-12451</t>
        </is>
      </c>
      <c r="C8" s="5" t="inlineStr">
        <is>
          <t>IXO8A15</t>
        </is>
      </c>
      <c r="D8" s="22" t="inlineStr">
        <is>
          <t>Renault Duster 1.6</t>
        </is>
      </c>
      <c r="E8" s="23" t="n">
        <v>56155</v>
      </c>
      <c r="F8" s="23" t="n">
        <v>55731</v>
      </c>
      <c r="G8" s="23" t="n">
        <v>424</v>
      </c>
      <c r="H8" s="9" t="n">
        <v>50.77</v>
      </c>
      <c r="I8" s="9" t="n">
        <v>8.35</v>
      </c>
      <c r="J8" s="10" t="n">
        <v>6.23</v>
      </c>
      <c r="K8" s="10" t="n">
        <v>316.3</v>
      </c>
      <c r="L8" s="10" t="n">
        <v>0.75</v>
      </c>
      <c r="M8" s="5" t="inlineStr">
        <is>
          <t>Gasolina Comum</t>
        </is>
      </c>
      <c r="N8" s="22" t="inlineStr">
        <is>
          <t>Posto Petrobras Centro Bagé</t>
        </is>
      </c>
      <c r="O8" s="5" t="inlineStr">
        <is>
          <t>Bagé</t>
        </is>
      </c>
      <c r="P8" s="22" t="inlineStr">
        <is>
          <t>Sd PM Silva</t>
        </is>
      </c>
      <c r="Q8" s="22" t="inlineStr"/>
    </row>
    <row r="9">
      <c r="A9" s="11" t="inlineStr">
        <is>
          <t>2026-09-22 00:43</t>
        </is>
      </c>
      <c r="B9" s="11" t="inlineStr">
        <is>
          <t>BM-12450</t>
        </is>
      </c>
      <c r="C9" s="11" t="inlineStr">
        <is>
          <t>IXO8A12</t>
        </is>
      </c>
      <c r="D9" s="24" t="inlineStr">
        <is>
          <t>Renault Duster 1.6</t>
        </is>
      </c>
      <c r="E9" s="25" t="n">
        <v>46667</v>
      </c>
      <c r="F9" s="25" t="n">
        <v>46257</v>
      </c>
      <c r="G9" s="25" t="n">
        <v>410</v>
      </c>
      <c r="H9" s="15" t="n">
        <v>46.77</v>
      </c>
      <c r="I9" s="15" t="n">
        <v>8.77</v>
      </c>
      <c r="J9" s="16" t="n">
        <v>6.31</v>
      </c>
      <c r="K9" s="16" t="n">
        <v>295.12</v>
      </c>
      <c r="L9" s="16" t="n">
        <v>0.72</v>
      </c>
      <c r="M9" s="11" t="inlineStr">
        <is>
          <t>Gasolina Comum</t>
        </is>
      </c>
      <c r="N9" s="24" t="inlineStr">
        <is>
          <t>Posto da Guarnição Militar Bagé</t>
        </is>
      </c>
      <c r="O9" s="11" t="inlineStr">
        <is>
          <t>Bagé</t>
        </is>
      </c>
      <c r="P9" s="24" t="inlineStr">
        <is>
          <t>Sd PM Souza</t>
        </is>
      </c>
      <c r="Q9" s="24" t="inlineStr"/>
    </row>
    <row r="10">
      <c r="A10" s="5" t="inlineStr">
        <is>
          <t>2026-09-21 02:37</t>
        </is>
      </c>
      <c r="B10" s="5" t="inlineStr">
        <is>
          <t>BM-13100</t>
        </is>
      </c>
      <c r="C10" s="5" t="inlineStr">
        <is>
          <t>JBG9A87</t>
        </is>
      </c>
      <c r="D10" s="22" t="inlineStr">
        <is>
          <t>46º BPM</t>
        </is>
      </c>
      <c r="E10" s="23" t="n">
        <v>72013</v>
      </c>
      <c r="F10" s="23" t="n">
        <v>71573</v>
      </c>
      <c r="G10" s="23" t="n">
        <v>440</v>
      </c>
      <c r="H10" s="9" t="n">
        <v>44.97</v>
      </c>
      <c r="I10" s="9" t="n">
        <v>9.779999999999999</v>
      </c>
      <c r="J10" s="10" t="n">
        <v>6.15</v>
      </c>
      <c r="K10" s="10" t="n">
        <v>276.57</v>
      </c>
      <c r="L10" s="10" t="n">
        <v>0.63</v>
      </c>
      <c r="M10" s="5" t="inlineStr">
        <is>
          <t>Diesel S10</t>
        </is>
      </c>
      <c r="N10" s="22" t="inlineStr">
        <is>
          <t>Posto Petrobras Centro Bagé</t>
        </is>
      </c>
      <c r="O10" s="5" t="inlineStr">
        <is>
          <t>Bagé</t>
        </is>
      </c>
      <c r="P10" s="22" t="inlineStr">
        <is>
          <t>Sd PM Souza</t>
        </is>
      </c>
      <c r="Q10" s="22" t="inlineStr"/>
    </row>
    <row r="11">
      <c r="A11" s="11" t="inlineStr">
        <is>
          <t>2026-09-21 02:37</t>
        </is>
      </c>
      <c r="B11" s="11" t="inlineStr">
        <is>
          <t>BM-13105</t>
        </is>
      </c>
      <c r="C11" s="11" t="inlineStr">
        <is>
          <t>JBG9A90</t>
        </is>
      </c>
      <c r="D11" s="24" t="inlineStr">
        <is>
          <t>Toyota Hilux 4x4</t>
        </is>
      </c>
      <c r="E11" s="25" t="n">
        <v>84547</v>
      </c>
      <c r="F11" s="25" t="n">
        <v>84211</v>
      </c>
      <c r="G11" s="25" t="n">
        <v>336</v>
      </c>
      <c r="H11" s="15" t="n">
        <v>37.19</v>
      </c>
      <c r="I11" s="15" t="n">
        <v>9.029999999999999</v>
      </c>
      <c r="J11" s="16" t="n">
        <v>6.24</v>
      </c>
      <c r="K11" s="16" t="n">
        <v>232.07</v>
      </c>
      <c r="L11" s="16" t="n">
        <v>0.6899999999999999</v>
      </c>
      <c r="M11" s="11" t="inlineStr">
        <is>
          <t>Diesel S10</t>
        </is>
      </c>
      <c r="N11" s="24" t="inlineStr">
        <is>
          <t>Posto Petrobras Centro Bagé</t>
        </is>
      </c>
      <c r="O11" s="11" t="inlineStr">
        <is>
          <t>Bagé</t>
        </is>
      </c>
      <c r="P11" s="24" t="inlineStr">
        <is>
          <t>Sd PM Silva</t>
        </is>
      </c>
      <c r="Q11" s="24" t="inlineStr"/>
    </row>
    <row r="12">
      <c r="A12" s="5" t="inlineStr">
        <is>
          <t>2026-09-21 02:37</t>
        </is>
      </c>
      <c r="B12" s="5" t="inlineStr">
        <is>
          <t>BM-13100</t>
        </is>
      </c>
      <c r="C12" s="5" t="inlineStr">
        <is>
          <t>JBG9A87</t>
        </is>
      </c>
      <c r="D12" s="22" t="inlineStr">
        <is>
          <t>Toyota Hilux 4x4</t>
        </is>
      </c>
      <c r="E12" s="23" t="n">
        <v>72013</v>
      </c>
      <c r="F12" s="23" t="n">
        <v>71573</v>
      </c>
      <c r="G12" s="23" t="n">
        <v>440</v>
      </c>
      <c r="H12" s="9" t="n">
        <v>44.97</v>
      </c>
      <c r="I12" s="9" t="n">
        <v>9.779999999999999</v>
      </c>
      <c r="J12" s="10" t="n">
        <v>6.15</v>
      </c>
      <c r="K12" s="10" t="n">
        <v>276.57</v>
      </c>
      <c r="L12" s="10" t="n">
        <v>0.63</v>
      </c>
      <c r="M12" s="5" t="inlineStr">
        <is>
          <t>Diesel S10</t>
        </is>
      </c>
      <c r="N12" s="22" t="inlineStr">
        <is>
          <t>Posto Petrobras Centro Bagé</t>
        </is>
      </c>
      <c r="O12" s="5" t="inlineStr">
        <is>
          <t>Bagé</t>
        </is>
      </c>
      <c r="P12" s="22" t="inlineStr">
        <is>
          <t>Sd PM Souza</t>
        </is>
      </c>
      <c r="Q12" s="22" t="inlineStr"/>
    </row>
    <row r="13">
      <c r="A13" s="11" t="inlineStr">
        <is>
          <t>2026-09-20 01:05</t>
        </is>
      </c>
      <c r="B13" s="11" t="inlineStr">
        <is>
          <t>BM-14200</t>
        </is>
      </c>
      <c r="C13" s="11" t="inlineStr">
        <is>
          <t>JCY4B11</t>
        </is>
      </c>
      <c r="D13" s="24" t="inlineStr">
        <is>
          <t>46º BPM</t>
        </is>
      </c>
      <c r="E13" s="25" t="n">
        <v>35434</v>
      </c>
      <c r="F13" s="25" t="n">
        <v>34995</v>
      </c>
      <c r="G13" s="25" t="n">
        <v>439</v>
      </c>
      <c r="H13" s="15" t="n">
        <v>42.78</v>
      </c>
      <c r="I13" s="15" t="n">
        <v>10.26</v>
      </c>
      <c r="J13" s="16" t="n">
        <v>6.5</v>
      </c>
      <c r="K13" s="16" t="n">
        <v>278.07</v>
      </c>
      <c r="L13" s="16" t="n">
        <v>0.63</v>
      </c>
      <c r="M13" s="11" t="inlineStr">
        <is>
          <t>Gasolina Aditivada</t>
        </is>
      </c>
      <c r="N13" s="24" t="inlineStr">
        <is>
          <t>Posto Petrobras Centro Bagé</t>
        </is>
      </c>
      <c r="O13" s="11" t="inlineStr">
        <is>
          <t>Bagé</t>
        </is>
      </c>
      <c r="P13" s="24" t="inlineStr">
        <is>
          <t>Sd PM Oliveira</t>
        </is>
      </c>
      <c r="Q13" s="24" t="inlineStr"/>
    </row>
    <row r="14">
      <c r="A14" s="5" t="inlineStr">
        <is>
          <t>2026-09-20 01:05</t>
        </is>
      </c>
      <c r="B14" s="5" t="inlineStr">
        <is>
          <t>BM-13100</t>
        </is>
      </c>
      <c r="C14" s="5" t="inlineStr">
        <is>
          <t>JBG9A87</t>
        </is>
      </c>
      <c r="D14" s="22" t="inlineStr">
        <is>
          <t>46º BPM</t>
        </is>
      </c>
      <c r="E14" s="23" t="n">
        <v>71573</v>
      </c>
      <c r="F14" s="23" t="n">
        <v>71247</v>
      </c>
      <c r="G14" s="23" t="n">
        <v>326</v>
      </c>
      <c r="H14" s="9" t="n">
        <v>33.56</v>
      </c>
      <c r="I14" s="9" t="n">
        <v>9.710000000000001</v>
      </c>
      <c r="J14" s="10" t="n">
        <v>6.01</v>
      </c>
      <c r="K14" s="10" t="n">
        <v>201.7</v>
      </c>
      <c r="L14" s="10" t="n">
        <v>0.62</v>
      </c>
      <c r="M14" s="5" t="inlineStr">
        <is>
          <t>Diesel S10</t>
        </is>
      </c>
      <c r="N14" s="22" t="inlineStr">
        <is>
          <t>Posto Ipiranga Tiaraju (Bagé)</t>
        </is>
      </c>
      <c r="O14" s="5" t="inlineStr">
        <is>
          <t>Bagé</t>
        </is>
      </c>
      <c r="P14" s="22" t="inlineStr">
        <is>
          <t>Sd PM Pereira</t>
        </is>
      </c>
      <c r="Q14" s="22" t="inlineStr"/>
    </row>
    <row r="15">
      <c r="A15" s="11" t="inlineStr">
        <is>
          <t>2026-09-20 01:05</t>
        </is>
      </c>
      <c r="B15" s="11" t="inlineStr">
        <is>
          <t>BM-15012</t>
        </is>
      </c>
      <c r="C15" s="11" t="inlineStr">
        <is>
          <t>JZZ7C40</t>
        </is>
      </c>
      <c r="D15" s="24" t="inlineStr">
        <is>
          <t>Chevrolet Spin 1.8</t>
        </is>
      </c>
      <c r="E15" s="25" t="n">
        <v>98453</v>
      </c>
      <c r="F15" s="25" t="n">
        <v>98040</v>
      </c>
      <c r="G15" s="25" t="n">
        <v>413</v>
      </c>
      <c r="H15" s="15" t="n">
        <v>45.19</v>
      </c>
      <c r="I15" s="15" t="n">
        <v>9.140000000000001</v>
      </c>
      <c r="J15" s="16" t="n">
        <v>6.07</v>
      </c>
      <c r="K15" s="16" t="n">
        <v>274.3</v>
      </c>
      <c r="L15" s="16" t="n">
        <v>0.66</v>
      </c>
      <c r="M15" s="11" t="inlineStr">
        <is>
          <t>Gasolina Comum</t>
        </is>
      </c>
      <c r="N15" s="24" t="inlineStr">
        <is>
          <t>Posto da Guarnição Militar Bagé</t>
        </is>
      </c>
      <c r="O15" s="11" t="inlineStr">
        <is>
          <t>Bagé</t>
        </is>
      </c>
      <c r="P15" s="24" t="inlineStr">
        <is>
          <t>Sd PM Ferreira</t>
        </is>
      </c>
      <c r="Q15" s="24" t="inlineStr"/>
    </row>
    <row r="16">
      <c r="A16" s="5" t="inlineStr">
        <is>
          <t>2026-09-20 01:05</t>
        </is>
      </c>
      <c r="B16" s="5" t="inlineStr">
        <is>
          <t>BM-15010</t>
        </is>
      </c>
      <c r="C16" s="5" t="inlineStr">
        <is>
          <t>JZZ7C34</t>
        </is>
      </c>
      <c r="D16" s="22" t="inlineStr">
        <is>
          <t>Chevrolet Spin 1.8</t>
        </is>
      </c>
      <c r="E16" s="23" t="n">
        <v>91145</v>
      </c>
      <c r="F16" s="23" t="n">
        <v>90826</v>
      </c>
      <c r="G16" s="23" t="n">
        <v>319</v>
      </c>
      <c r="H16" s="9" t="n">
        <v>36.03</v>
      </c>
      <c r="I16" s="9" t="n">
        <v>8.85</v>
      </c>
      <c r="J16" s="10" t="n">
        <v>6.07</v>
      </c>
      <c r="K16" s="10" t="n">
        <v>218.7</v>
      </c>
      <c r="L16" s="10" t="n">
        <v>0.6899999999999999</v>
      </c>
      <c r="M16" s="5" t="inlineStr">
        <is>
          <t>Gasolina Comum</t>
        </is>
      </c>
      <c r="N16" s="22" t="inlineStr">
        <is>
          <t>Posto da Guarnição Militar Bagé</t>
        </is>
      </c>
      <c r="O16" s="5" t="inlineStr">
        <is>
          <t>Bagé</t>
        </is>
      </c>
      <c r="P16" s="22" t="inlineStr">
        <is>
          <t>Sd PM Souza</t>
        </is>
      </c>
      <c r="Q16" s="22" t="inlineStr"/>
    </row>
    <row r="17">
      <c r="A17" s="11" t="inlineStr">
        <is>
          <t>2026-09-20 01:05</t>
        </is>
      </c>
      <c r="B17" s="11" t="inlineStr">
        <is>
          <t>BM-14200</t>
        </is>
      </c>
      <c r="C17" s="11" t="inlineStr">
        <is>
          <t>JCY4B11</t>
        </is>
      </c>
      <c r="D17" s="24" t="inlineStr">
        <is>
          <t>Toyota Corolla 2.0</t>
        </is>
      </c>
      <c r="E17" s="25" t="n">
        <v>35434</v>
      </c>
      <c r="F17" s="25" t="n">
        <v>34995</v>
      </c>
      <c r="G17" s="25" t="n">
        <v>439</v>
      </c>
      <c r="H17" s="15" t="n">
        <v>42.78</v>
      </c>
      <c r="I17" s="15" t="n">
        <v>10.26</v>
      </c>
      <c r="J17" s="16" t="n">
        <v>6.5</v>
      </c>
      <c r="K17" s="16" t="n">
        <v>278.07</v>
      </c>
      <c r="L17" s="16" t="n">
        <v>0.63</v>
      </c>
      <c r="M17" s="11" t="inlineStr">
        <is>
          <t>Gasolina Aditivada</t>
        </is>
      </c>
      <c r="N17" s="24" t="inlineStr">
        <is>
          <t>Posto Petrobras Centro Bagé</t>
        </is>
      </c>
      <c r="O17" s="11" t="inlineStr">
        <is>
          <t>Bagé</t>
        </is>
      </c>
      <c r="P17" s="24" t="inlineStr">
        <is>
          <t>Sd PM Oliveira</t>
        </is>
      </c>
      <c r="Q17" s="24" t="inlineStr"/>
    </row>
    <row r="18">
      <c r="A18" s="5" t="inlineStr">
        <is>
          <t>2026-09-20 01:05</t>
        </is>
      </c>
      <c r="B18" s="5" t="inlineStr">
        <is>
          <t>BM-13100</t>
        </is>
      </c>
      <c r="C18" s="5" t="inlineStr">
        <is>
          <t>JBG9A87</t>
        </is>
      </c>
      <c r="D18" s="22" t="inlineStr">
        <is>
          <t>Toyota Hilux 4x4</t>
        </is>
      </c>
      <c r="E18" s="23" t="n">
        <v>71573</v>
      </c>
      <c r="F18" s="23" t="n">
        <v>71247</v>
      </c>
      <c r="G18" s="23" t="n">
        <v>326</v>
      </c>
      <c r="H18" s="9" t="n">
        <v>33.56</v>
      </c>
      <c r="I18" s="9" t="n">
        <v>9.710000000000001</v>
      </c>
      <c r="J18" s="10" t="n">
        <v>6.01</v>
      </c>
      <c r="K18" s="10" t="n">
        <v>201.7</v>
      </c>
      <c r="L18" s="10" t="n">
        <v>0.62</v>
      </c>
      <c r="M18" s="5" t="inlineStr">
        <is>
          <t>Diesel S10</t>
        </is>
      </c>
      <c r="N18" s="22" t="inlineStr">
        <is>
          <t>Posto Ipiranga Tiaraju (Bagé)</t>
        </is>
      </c>
      <c r="O18" s="5" t="inlineStr">
        <is>
          <t>Bagé</t>
        </is>
      </c>
      <c r="P18" s="22" t="inlineStr">
        <is>
          <t>Sd PM Pereira</t>
        </is>
      </c>
      <c r="Q18" s="22" t="inlineStr"/>
    </row>
    <row r="19">
      <c r="A19" s="11" t="inlineStr">
        <is>
          <t>2026-09-18 08:07</t>
        </is>
      </c>
      <c r="B19" s="11" t="inlineStr">
        <is>
          <t>BM-14200</t>
        </is>
      </c>
      <c r="C19" s="11" t="inlineStr">
        <is>
          <t>JCY4B11</t>
        </is>
      </c>
      <c r="D19" s="24" t="inlineStr">
        <is>
          <t>46º BPM</t>
        </is>
      </c>
      <c r="E19" s="25" t="n">
        <v>34995</v>
      </c>
      <c r="F19" s="25" t="n">
        <v>34597</v>
      </c>
      <c r="G19" s="25" t="n">
        <v>398</v>
      </c>
      <c r="H19" s="15" t="n">
        <v>40.18</v>
      </c>
      <c r="I19" s="15" t="n">
        <v>9.91</v>
      </c>
      <c r="J19" s="16" t="n">
        <v>6.52</v>
      </c>
      <c r="K19" s="16" t="n">
        <v>261.97</v>
      </c>
      <c r="L19" s="16" t="n">
        <v>0.66</v>
      </c>
      <c r="M19" s="11" t="inlineStr">
        <is>
          <t>Gasolina Aditivada</t>
        </is>
      </c>
      <c r="N19" s="24" t="inlineStr">
        <is>
          <t>Posto Petrobras Centro Bagé</t>
        </is>
      </c>
      <c r="O19" s="11" t="inlineStr">
        <is>
          <t>Bagé</t>
        </is>
      </c>
      <c r="P19" s="24" t="inlineStr">
        <is>
          <t>Sd PM Pereira</t>
        </is>
      </c>
      <c r="Q19" s="24" t="inlineStr"/>
    </row>
    <row r="20">
      <c r="A20" s="5" t="inlineStr">
        <is>
          <t>2026-09-18 08:07</t>
        </is>
      </c>
      <c r="B20" s="5" t="inlineStr">
        <is>
          <t>BM-14200</t>
        </is>
      </c>
      <c r="C20" s="5" t="inlineStr">
        <is>
          <t>JCY4B11</t>
        </is>
      </c>
      <c r="D20" s="22" t="inlineStr">
        <is>
          <t>Toyota Corolla 2.0</t>
        </is>
      </c>
      <c r="E20" s="23" t="n">
        <v>34995</v>
      </c>
      <c r="F20" s="23" t="n">
        <v>34597</v>
      </c>
      <c r="G20" s="23" t="n">
        <v>398</v>
      </c>
      <c r="H20" s="9" t="n">
        <v>40.18</v>
      </c>
      <c r="I20" s="9" t="n">
        <v>9.91</v>
      </c>
      <c r="J20" s="10" t="n">
        <v>6.52</v>
      </c>
      <c r="K20" s="10" t="n">
        <v>261.97</v>
      </c>
      <c r="L20" s="10" t="n">
        <v>0.66</v>
      </c>
      <c r="M20" s="5" t="inlineStr">
        <is>
          <t>Gasolina Aditivada</t>
        </is>
      </c>
      <c r="N20" s="22" t="inlineStr">
        <is>
          <t>Posto Petrobras Centro Bagé</t>
        </is>
      </c>
      <c r="O20" s="5" t="inlineStr">
        <is>
          <t>Bagé</t>
        </is>
      </c>
      <c r="P20" s="22" t="inlineStr">
        <is>
          <t>Sd PM Pereira</t>
        </is>
      </c>
      <c r="Q20" s="22" t="inlineStr"/>
    </row>
    <row r="21">
      <c r="A21" s="11" t="inlineStr">
        <is>
          <t>2026-09-17 14:11</t>
        </is>
      </c>
      <c r="B21" s="11" t="inlineStr">
        <is>
          <t>BM-13100</t>
        </is>
      </c>
      <c r="C21" s="11" t="inlineStr">
        <is>
          <t>JBG9A87</t>
        </is>
      </c>
      <c r="D21" s="24" t="inlineStr">
        <is>
          <t>46º BPM</t>
        </is>
      </c>
      <c r="E21" s="25" t="n">
        <v>71247</v>
      </c>
      <c r="F21" s="25" t="n">
        <v>70869</v>
      </c>
      <c r="G21" s="25" t="n">
        <v>378</v>
      </c>
      <c r="H21" s="15" t="n">
        <v>41.95</v>
      </c>
      <c r="I21" s="15" t="n">
        <v>9.01</v>
      </c>
      <c r="J21" s="16" t="n">
        <v>6.09</v>
      </c>
      <c r="K21" s="16" t="n">
        <v>255.48</v>
      </c>
      <c r="L21" s="16" t="n">
        <v>0.68</v>
      </c>
      <c r="M21" s="11" t="inlineStr">
        <is>
          <t>Diesel S10</t>
        </is>
      </c>
      <c r="N21" s="24" t="inlineStr">
        <is>
          <t>Posto Petrobras Centro Bagé</t>
        </is>
      </c>
      <c r="O21" s="11" t="inlineStr">
        <is>
          <t>Bagé</t>
        </is>
      </c>
      <c r="P21" s="24" t="inlineStr">
        <is>
          <t>Sd PM Souza</t>
        </is>
      </c>
      <c r="Q21" s="24" t="inlineStr"/>
    </row>
    <row r="22">
      <c r="A22" s="5" t="inlineStr">
        <is>
          <t>2026-09-17 14:11</t>
        </is>
      </c>
      <c r="B22" s="5" t="inlineStr">
        <is>
          <t>BM-15010</t>
        </is>
      </c>
      <c r="C22" s="5" t="inlineStr">
        <is>
          <t>JZZ7C34</t>
        </is>
      </c>
      <c r="D22" s="22" t="inlineStr">
        <is>
          <t>Chevrolet Spin 1.8</t>
        </is>
      </c>
      <c r="E22" s="23" t="n">
        <v>90826</v>
      </c>
      <c r="F22" s="23" t="n">
        <v>90389</v>
      </c>
      <c r="G22" s="23" t="n">
        <v>437</v>
      </c>
      <c r="H22" s="9" t="n">
        <v>49.96</v>
      </c>
      <c r="I22" s="9" t="n">
        <v>8.75</v>
      </c>
      <c r="J22" s="10" t="n">
        <v>6.13</v>
      </c>
      <c r="K22" s="10" t="n">
        <v>306.25</v>
      </c>
      <c r="L22" s="10" t="n">
        <v>0.7</v>
      </c>
      <c r="M22" s="5" t="inlineStr">
        <is>
          <t>Gasolina Comum</t>
        </is>
      </c>
      <c r="N22" s="22" t="inlineStr">
        <is>
          <t>Posto Petrobras Centro Bagé</t>
        </is>
      </c>
      <c r="O22" s="5" t="inlineStr">
        <is>
          <t>Bagé</t>
        </is>
      </c>
      <c r="P22" s="22" t="inlineStr">
        <is>
          <t>Sd PM Ferreira</t>
        </is>
      </c>
      <c r="Q22" s="22" t="inlineStr"/>
    </row>
    <row r="23">
      <c r="A23" s="11" t="inlineStr">
        <is>
          <t>2026-09-17 14:11</t>
        </is>
      </c>
      <c r="B23" s="11" t="inlineStr">
        <is>
          <t>BM-14205</t>
        </is>
      </c>
      <c r="C23" s="11" t="inlineStr">
        <is>
          <t>JCY4B15</t>
        </is>
      </c>
      <c r="D23" s="24" t="inlineStr">
        <is>
          <t>Toyota Corolla 2.0</t>
        </is>
      </c>
      <c r="E23" s="25" t="n">
        <v>40351</v>
      </c>
      <c r="F23" s="25" t="n">
        <v>39831</v>
      </c>
      <c r="G23" s="25" t="n">
        <v>520</v>
      </c>
      <c r="H23" s="15" t="n">
        <v>50.21</v>
      </c>
      <c r="I23" s="15" t="n">
        <v>10.36</v>
      </c>
      <c r="J23" s="16" t="n">
        <v>6.09</v>
      </c>
      <c r="K23" s="16" t="n">
        <v>305.78</v>
      </c>
      <c r="L23" s="16" t="n">
        <v>0.59</v>
      </c>
      <c r="M23" s="11" t="inlineStr">
        <is>
          <t>Gasolina Comum</t>
        </is>
      </c>
      <c r="N23" s="24" t="inlineStr">
        <is>
          <t>Posto da Guarnição Militar Bagé</t>
        </is>
      </c>
      <c r="O23" s="11" t="inlineStr">
        <is>
          <t>Bagé</t>
        </is>
      </c>
      <c r="P23" s="24" t="inlineStr">
        <is>
          <t>Sd PM Pereira</t>
        </is>
      </c>
      <c r="Q23" s="24" t="inlineStr"/>
    </row>
    <row r="24">
      <c r="A24" s="5" t="inlineStr">
        <is>
          <t>2026-09-17 14:11</t>
        </is>
      </c>
      <c r="B24" s="5" t="inlineStr">
        <is>
          <t>BM-13105</t>
        </is>
      </c>
      <c r="C24" s="5" t="inlineStr">
        <is>
          <t>JBG9A90</t>
        </is>
      </c>
      <c r="D24" s="22" t="inlineStr">
        <is>
          <t>Toyota Hilux 4x4</t>
        </is>
      </c>
      <c r="E24" s="23" t="n">
        <v>84211</v>
      </c>
      <c r="F24" s="23" t="n">
        <v>83847</v>
      </c>
      <c r="G24" s="23" t="n">
        <v>364</v>
      </c>
      <c r="H24" s="9" t="n">
        <v>42.82</v>
      </c>
      <c r="I24" s="9" t="n">
        <v>8.5</v>
      </c>
      <c r="J24" s="10" t="n">
        <v>5.94</v>
      </c>
      <c r="K24" s="10" t="n">
        <v>254.35</v>
      </c>
      <c r="L24" s="10" t="n">
        <v>0.7</v>
      </c>
      <c r="M24" s="5" t="inlineStr">
        <is>
          <t>Diesel S10</t>
        </is>
      </c>
      <c r="N24" s="22" t="inlineStr">
        <is>
          <t>Auto Posto Shell Santa Tecla (Bagé)</t>
        </is>
      </c>
      <c r="O24" s="5" t="inlineStr">
        <is>
          <t>Bagé</t>
        </is>
      </c>
      <c r="P24" s="22" t="inlineStr">
        <is>
          <t>Sd PM Silva</t>
        </is>
      </c>
      <c r="Q24" s="22" t="inlineStr"/>
    </row>
    <row r="25">
      <c r="A25" s="11" t="inlineStr">
        <is>
          <t>2026-09-17 14:11</t>
        </is>
      </c>
      <c r="B25" s="11" t="inlineStr">
        <is>
          <t>BM-13100</t>
        </is>
      </c>
      <c r="C25" s="11" t="inlineStr">
        <is>
          <t>JBG9A87</t>
        </is>
      </c>
      <c r="D25" s="24" t="inlineStr">
        <is>
          <t>Toyota Hilux 4x4</t>
        </is>
      </c>
      <c r="E25" s="25" t="n">
        <v>71247</v>
      </c>
      <c r="F25" s="25" t="n">
        <v>70869</v>
      </c>
      <c r="G25" s="25" t="n">
        <v>378</v>
      </c>
      <c r="H25" s="15" t="n">
        <v>41.95</v>
      </c>
      <c r="I25" s="15" t="n">
        <v>9.01</v>
      </c>
      <c r="J25" s="16" t="n">
        <v>6.09</v>
      </c>
      <c r="K25" s="16" t="n">
        <v>255.48</v>
      </c>
      <c r="L25" s="16" t="n">
        <v>0.68</v>
      </c>
      <c r="M25" s="11" t="inlineStr">
        <is>
          <t>Diesel S10</t>
        </is>
      </c>
      <c r="N25" s="24" t="inlineStr">
        <is>
          <t>Posto Petrobras Centro Bagé</t>
        </is>
      </c>
      <c r="O25" s="11" t="inlineStr">
        <is>
          <t>Bagé</t>
        </is>
      </c>
      <c r="P25" s="24" t="inlineStr">
        <is>
          <t>Sd PM Souza</t>
        </is>
      </c>
      <c r="Q25" s="24" t="inlineStr"/>
    </row>
    <row r="26">
      <c r="A26" s="5" t="inlineStr">
        <is>
          <t>2026-09-17 14:11</t>
        </is>
      </c>
      <c r="B26" s="5" t="inlineStr">
        <is>
          <t>BM-12451</t>
        </is>
      </c>
      <c r="C26" s="5" t="inlineStr">
        <is>
          <t>IXO8A15</t>
        </is>
      </c>
      <c r="D26" s="22" t="inlineStr">
        <is>
          <t>Renault Duster 1.6</t>
        </is>
      </c>
      <c r="E26" s="23" t="n">
        <v>55731</v>
      </c>
      <c r="F26" s="23" t="n">
        <v>55455</v>
      </c>
      <c r="G26" s="23" t="n">
        <v>276</v>
      </c>
      <c r="H26" s="9" t="n">
        <v>34.71</v>
      </c>
      <c r="I26" s="9" t="n">
        <v>7.95</v>
      </c>
      <c r="J26" s="10" t="n">
        <v>6.17</v>
      </c>
      <c r="K26" s="10" t="n">
        <v>214.16</v>
      </c>
      <c r="L26" s="10" t="n">
        <v>0.78</v>
      </c>
      <c r="M26" s="5" t="inlineStr">
        <is>
          <t>Gasolina Comum</t>
        </is>
      </c>
      <c r="N26" s="22" t="inlineStr">
        <is>
          <t>Posto Petrobras Centro Bagé</t>
        </is>
      </c>
      <c r="O26" s="5" t="inlineStr">
        <is>
          <t>Bagé</t>
        </is>
      </c>
      <c r="P26" s="22" t="inlineStr">
        <is>
          <t>Sd PM Ferreira</t>
        </is>
      </c>
      <c r="Q26" s="22" t="inlineStr"/>
    </row>
    <row r="27">
      <c r="A27" s="11" t="inlineStr">
        <is>
          <t>2026-09-15 22:47</t>
        </is>
      </c>
      <c r="B27" s="11" t="inlineStr">
        <is>
          <t>BM-14200</t>
        </is>
      </c>
      <c r="C27" s="11" t="inlineStr">
        <is>
          <t>JCY4B11</t>
        </is>
      </c>
      <c r="D27" s="24" t="inlineStr">
        <is>
          <t>46º BPM</t>
        </is>
      </c>
      <c r="E27" s="25" t="n">
        <v>34597</v>
      </c>
      <c r="F27" s="25" t="n">
        <v>34212</v>
      </c>
      <c r="G27" s="25" t="n">
        <v>385</v>
      </c>
      <c r="H27" s="15" t="n">
        <v>37.1</v>
      </c>
      <c r="I27" s="15" t="n">
        <v>10.38</v>
      </c>
      <c r="J27" s="16" t="n">
        <v>6.44</v>
      </c>
      <c r="K27" s="16" t="n">
        <v>238.92</v>
      </c>
      <c r="L27" s="16" t="n">
        <v>0.62</v>
      </c>
      <c r="M27" s="11" t="inlineStr">
        <is>
          <t>Gasolina Aditivada</t>
        </is>
      </c>
      <c r="N27" s="24" t="inlineStr">
        <is>
          <t>Posto Petrobras Centro Bagé</t>
        </is>
      </c>
      <c r="O27" s="11" t="inlineStr">
        <is>
          <t>Bagé</t>
        </is>
      </c>
      <c r="P27" s="24" t="inlineStr">
        <is>
          <t>Sd PM Souza</t>
        </is>
      </c>
      <c r="Q27" s="24" t="inlineStr"/>
    </row>
    <row r="28">
      <c r="A28" s="5" t="inlineStr">
        <is>
          <t>2026-09-15 22:47</t>
        </is>
      </c>
      <c r="B28" s="5" t="inlineStr">
        <is>
          <t>BM-13100</t>
        </is>
      </c>
      <c r="C28" s="5" t="inlineStr">
        <is>
          <t>JBG9A87</t>
        </is>
      </c>
      <c r="D28" s="22" t="inlineStr">
        <is>
          <t>46º BPM</t>
        </is>
      </c>
      <c r="E28" s="23" t="n">
        <v>70869</v>
      </c>
      <c r="F28" s="23" t="n">
        <v>70483</v>
      </c>
      <c r="G28" s="23" t="n">
        <v>386</v>
      </c>
      <c r="H28" s="9" t="n">
        <v>41.13</v>
      </c>
      <c r="I28" s="9" t="n">
        <v>9.380000000000001</v>
      </c>
      <c r="J28" s="10" t="n">
        <v>5.99</v>
      </c>
      <c r="K28" s="10" t="n">
        <v>246.37</v>
      </c>
      <c r="L28" s="10" t="n">
        <v>0.64</v>
      </c>
      <c r="M28" s="5" t="inlineStr">
        <is>
          <t>Diesel S10</t>
        </is>
      </c>
      <c r="N28" s="22" t="inlineStr">
        <is>
          <t>Posto Petrobras Centro Bagé</t>
        </is>
      </c>
      <c r="O28" s="5" t="inlineStr">
        <is>
          <t>Bagé</t>
        </is>
      </c>
      <c r="P28" s="22" t="inlineStr">
        <is>
          <t>Sd PM Santos</t>
        </is>
      </c>
      <c r="Q28" s="22" t="inlineStr"/>
    </row>
    <row r="29">
      <c r="A29" s="11" t="inlineStr">
        <is>
          <t>2026-09-15 22:47</t>
        </is>
      </c>
      <c r="B29" s="11" t="inlineStr">
        <is>
          <t>BM-12450</t>
        </is>
      </c>
      <c r="C29" s="11" t="inlineStr">
        <is>
          <t>IXO8A12</t>
        </is>
      </c>
      <c r="D29" s="24" t="inlineStr">
        <is>
          <t>46º BPM</t>
        </is>
      </c>
      <c r="E29" s="25" t="n">
        <v>46257</v>
      </c>
      <c r="F29" s="25" t="n">
        <v>45866</v>
      </c>
      <c r="G29" s="25" t="n">
        <v>391</v>
      </c>
      <c r="H29" s="15" t="n">
        <v>46.22</v>
      </c>
      <c r="I29" s="15" t="n">
        <v>8.460000000000001</v>
      </c>
      <c r="J29" s="16" t="n">
        <v>6.27</v>
      </c>
      <c r="K29" s="16" t="n">
        <v>289.8</v>
      </c>
      <c r="L29" s="16" t="n">
        <v>0.74</v>
      </c>
      <c r="M29" s="11" t="inlineStr">
        <is>
          <t>Gasolina Comum</t>
        </is>
      </c>
      <c r="N29" s="24" t="inlineStr">
        <is>
          <t>Posto da Guarnição Militar Bagé</t>
        </is>
      </c>
      <c r="O29" s="11" t="inlineStr">
        <is>
          <t>Bagé</t>
        </is>
      </c>
      <c r="P29" s="24" t="inlineStr">
        <is>
          <t>Sd PM Pereira</t>
        </is>
      </c>
      <c r="Q29" s="24" t="inlineStr"/>
    </row>
    <row r="30">
      <c r="A30" s="5" t="inlineStr">
        <is>
          <t>2026-09-15 22:47</t>
        </is>
      </c>
      <c r="B30" s="5" t="inlineStr">
        <is>
          <t>BM-15012</t>
        </is>
      </c>
      <c r="C30" s="5" t="inlineStr">
        <is>
          <t>JZZ7C40</t>
        </is>
      </c>
      <c r="D30" s="22" t="inlineStr">
        <is>
          <t>Chevrolet Spin 1.8</t>
        </is>
      </c>
      <c r="E30" s="23" t="n">
        <v>98040</v>
      </c>
      <c r="F30" s="23" t="n">
        <v>97668</v>
      </c>
      <c r="G30" s="23" t="n">
        <v>372</v>
      </c>
      <c r="H30" s="9" t="n">
        <v>40.9</v>
      </c>
      <c r="I30" s="9" t="n">
        <v>9.1</v>
      </c>
      <c r="J30" s="10" t="n">
        <v>6.28</v>
      </c>
      <c r="K30" s="10" t="n">
        <v>256.85</v>
      </c>
      <c r="L30" s="10" t="n">
        <v>0.6899999999999999</v>
      </c>
      <c r="M30" s="5" t="inlineStr">
        <is>
          <t>Gasolina Comum</t>
        </is>
      </c>
      <c r="N30" s="22" t="inlineStr">
        <is>
          <t>Posto Ipiranga Tiaraju (Bagé)</t>
        </is>
      </c>
      <c r="O30" s="5" t="inlineStr">
        <is>
          <t>Bagé</t>
        </is>
      </c>
      <c r="P30" s="22" t="inlineStr">
        <is>
          <t>Sd PM Pereira</t>
        </is>
      </c>
      <c r="Q30" s="22" t="inlineStr"/>
    </row>
    <row r="31">
      <c r="A31" s="11" t="inlineStr">
        <is>
          <t>2026-09-15 22:47</t>
        </is>
      </c>
      <c r="B31" s="11" t="inlineStr">
        <is>
          <t>BM-14200</t>
        </is>
      </c>
      <c r="C31" s="11" t="inlineStr">
        <is>
          <t>JCY4B11</t>
        </is>
      </c>
      <c r="D31" s="24" t="inlineStr">
        <is>
          <t>Toyota Corolla 2.0</t>
        </is>
      </c>
      <c r="E31" s="25" t="n">
        <v>34597</v>
      </c>
      <c r="F31" s="25" t="n">
        <v>34212</v>
      </c>
      <c r="G31" s="25" t="n">
        <v>385</v>
      </c>
      <c r="H31" s="15" t="n">
        <v>37.1</v>
      </c>
      <c r="I31" s="15" t="n">
        <v>10.38</v>
      </c>
      <c r="J31" s="16" t="n">
        <v>6.44</v>
      </c>
      <c r="K31" s="16" t="n">
        <v>238.92</v>
      </c>
      <c r="L31" s="16" t="n">
        <v>0.62</v>
      </c>
      <c r="M31" s="11" t="inlineStr">
        <is>
          <t>Gasolina Aditivada</t>
        </is>
      </c>
      <c r="N31" s="24" t="inlineStr">
        <is>
          <t>Posto Petrobras Centro Bagé</t>
        </is>
      </c>
      <c r="O31" s="11" t="inlineStr">
        <is>
          <t>Bagé</t>
        </is>
      </c>
      <c r="P31" s="24" t="inlineStr">
        <is>
          <t>Sd PM Souza</t>
        </is>
      </c>
      <c r="Q31" s="24" t="inlineStr"/>
    </row>
    <row r="32">
      <c r="A32" s="5" t="inlineStr">
        <is>
          <t>2026-09-15 22:47</t>
        </is>
      </c>
      <c r="B32" s="5" t="inlineStr">
        <is>
          <t>BM-13100</t>
        </is>
      </c>
      <c r="C32" s="5" t="inlineStr">
        <is>
          <t>JBG9A87</t>
        </is>
      </c>
      <c r="D32" s="22" t="inlineStr">
        <is>
          <t>Toyota Hilux 4x4</t>
        </is>
      </c>
      <c r="E32" s="23" t="n">
        <v>70869</v>
      </c>
      <c r="F32" s="23" t="n">
        <v>70483</v>
      </c>
      <c r="G32" s="23" t="n">
        <v>386</v>
      </c>
      <c r="H32" s="9" t="n">
        <v>41.13</v>
      </c>
      <c r="I32" s="9" t="n">
        <v>9.380000000000001</v>
      </c>
      <c r="J32" s="10" t="n">
        <v>5.99</v>
      </c>
      <c r="K32" s="10" t="n">
        <v>246.37</v>
      </c>
      <c r="L32" s="10" t="n">
        <v>0.64</v>
      </c>
      <c r="M32" s="5" t="inlineStr">
        <is>
          <t>Diesel S10</t>
        </is>
      </c>
      <c r="N32" s="22" t="inlineStr">
        <is>
          <t>Posto Petrobras Centro Bagé</t>
        </is>
      </c>
      <c r="O32" s="5" t="inlineStr">
        <is>
          <t>Bagé</t>
        </is>
      </c>
      <c r="P32" s="22" t="inlineStr">
        <is>
          <t>Sd PM Santos</t>
        </is>
      </c>
      <c r="Q32" s="22" t="inlineStr"/>
    </row>
    <row r="33">
      <c r="A33" s="11" t="inlineStr">
        <is>
          <t>2026-09-15 22:47</t>
        </is>
      </c>
      <c r="B33" s="11" t="inlineStr">
        <is>
          <t>BM-12451</t>
        </is>
      </c>
      <c r="C33" s="11" t="inlineStr">
        <is>
          <t>IXO8A15</t>
        </is>
      </c>
      <c r="D33" s="24" t="inlineStr">
        <is>
          <t>Renault Duster 1.6</t>
        </is>
      </c>
      <c r="E33" s="25" t="n">
        <v>55455</v>
      </c>
      <c r="F33" s="25" t="n">
        <v>55017</v>
      </c>
      <c r="G33" s="25" t="n">
        <v>438</v>
      </c>
      <c r="H33" s="15" t="n">
        <v>50.85</v>
      </c>
      <c r="I33" s="15" t="n">
        <v>8.609999999999999</v>
      </c>
      <c r="J33" s="16" t="n">
        <v>6.29</v>
      </c>
      <c r="K33" s="16" t="n">
        <v>319.85</v>
      </c>
      <c r="L33" s="16" t="n">
        <v>0.73</v>
      </c>
      <c r="M33" s="11" t="inlineStr">
        <is>
          <t>Gasolina Comum</t>
        </is>
      </c>
      <c r="N33" s="24" t="inlineStr">
        <is>
          <t>Posto Petrobras Centro Bagé</t>
        </is>
      </c>
      <c r="O33" s="11" t="inlineStr">
        <is>
          <t>Bagé</t>
        </is>
      </c>
      <c r="P33" s="24" t="inlineStr">
        <is>
          <t>Sd PM Ferreira</t>
        </is>
      </c>
      <c r="Q33" s="24" t="inlineStr"/>
    </row>
    <row r="34">
      <c r="A34" s="5" t="inlineStr">
        <is>
          <t>2026-09-15 22:47</t>
        </is>
      </c>
      <c r="B34" s="5" t="inlineStr">
        <is>
          <t>BM-12450</t>
        </is>
      </c>
      <c r="C34" s="5" t="inlineStr">
        <is>
          <t>IXO8A12</t>
        </is>
      </c>
      <c r="D34" s="22" t="inlineStr">
        <is>
          <t>Renault Duster 1.6</t>
        </is>
      </c>
      <c r="E34" s="23" t="n">
        <v>46257</v>
      </c>
      <c r="F34" s="23" t="n">
        <v>45866</v>
      </c>
      <c r="G34" s="23" t="n">
        <v>391</v>
      </c>
      <c r="H34" s="9" t="n">
        <v>46.22</v>
      </c>
      <c r="I34" s="9" t="n">
        <v>8.460000000000001</v>
      </c>
      <c r="J34" s="10" t="n">
        <v>6.27</v>
      </c>
      <c r="K34" s="10" t="n">
        <v>289.8</v>
      </c>
      <c r="L34" s="10" t="n">
        <v>0.74</v>
      </c>
      <c r="M34" s="5" t="inlineStr">
        <is>
          <t>Gasolina Comum</t>
        </is>
      </c>
      <c r="N34" s="22" t="inlineStr">
        <is>
          <t>Posto da Guarnição Militar Bagé</t>
        </is>
      </c>
      <c r="O34" s="5" t="inlineStr">
        <is>
          <t>Bagé</t>
        </is>
      </c>
      <c r="P34" s="22" t="inlineStr">
        <is>
          <t>Sd PM Pereira</t>
        </is>
      </c>
      <c r="Q34" s="22" t="inlineStr"/>
    </row>
    <row r="35">
      <c r="A35" s="11" t="inlineStr">
        <is>
          <t>2026-09-15 10:12</t>
        </is>
      </c>
      <c r="B35" s="11" t="inlineStr">
        <is>
          <t>BM-14205</t>
        </is>
      </c>
      <c r="C35" s="11" t="inlineStr">
        <is>
          <t>JCY4B15</t>
        </is>
      </c>
      <c r="D35" s="24" t="inlineStr">
        <is>
          <t>Toyota Corolla 2.0</t>
        </is>
      </c>
      <c r="E35" s="25" t="n">
        <v>39831</v>
      </c>
      <c r="F35" s="25" t="n">
        <v>39466</v>
      </c>
      <c r="G35" s="25" t="n">
        <v>365</v>
      </c>
      <c r="H35" s="15" t="n">
        <v>37.85</v>
      </c>
      <c r="I35" s="15" t="n">
        <v>9.640000000000001</v>
      </c>
      <c r="J35" s="16" t="n">
        <v>6.08</v>
      </c>
      <c r="K35" s="16" t="n">
        <v>230.13</v>
      </c>
      <c r="L35" s="16" t="n">
        <v>0.63</v>
      </c>
      <c r="M35" s="11" t="inlineStr">
        <is>
          <t>Gasolina Comum</t>
        </is>
      </c>
      <c r="N35" s="24" t="inlineStr">
        <is>
          <t>Posto da Guarnição Militar Bagé</t>
        </is>
      </c>
      <c r="O35" s="11" t="inlineStr">
        <is>
          <t>Bagé</t>
        </is>
      </c>
      <c r="P35" s="24" t="inlineStr">
        <is>
          <t>Sd PM Silva</t>
        </is>
      </c>
      <c r="Q35" s="24" t="inlineStr"/>
    </row>
    <row r="36">
      <c r="A36" s="5" t="inlineStr">
        <is>
          <t>2026-09-15 10:12</t>
        </is>
      </c>
      <c r="B36" s="5" t="inlineStr">
        <is>
          <t>BM-13105</t>
        </is>
      </c>
      <c r="C36" s="5" t="inlineStr">
        <is>
          <t>JBG9A90</t>
        </is>
      </c>
      <c r="D36" s="22" t="inlineStr">
        <is>
          <t>Toyota Hilux 4x4</t>
        </is>
      </c>
      <c r="E36" s="23" t="n">
        <v>83847</v>
      </c>
      <c r="F36" s="23" t="n">
        <v>83413</v>
      </c>
      <c r="G36" s="23" t="n">
        <v>434</v>
      </c>
      <c r="H36" s="9" t="n">
        <v>50.27</v>
      </c>
      <c r="I36" s="9" t="n">
        <v>8.630000000000001</v>
      </c>
      <c r="J36" s="10" t="n">
        <v>6.02</v>
      </c>
      <c r="K36" s="10" t="n">
        <v>302.63</v>
      </c>
      <c r="L36" s="10" t="n">
        <v>0.7</v>
      </c>
      <c r="M36" s="5" t="inlineStr">
        <is>
          <t>Diesel S10</t>
        </is>
      </c>
      <c r="N36" s="22" t="inlineStr">
        <is>
          <t>Auto Posto Shell Santa Tecla (Bagé)</t>
        </is>
      </c>
      <c r="O36" s="5" t="inlineStr">
        <is>
          <t>Bagé</t>
        </is>
      </c>
      <c r="P36" s="22" t="inlineStr">
        <is>
          <t>Sd PM Silva</t>
        </is>
      </c>
      <c r="Q36" s="22" t="inlineStr"/>
    </row>
    <row r="37">
      <c r="A37" s="11" t="inlineStr">
        <is>
          <t>2026-09-14 12:01</t>
        </is>
      </c>
      <c r="B37" s="11" t="inlineStr">
        <is>
          <t>BM-13100</t>
        </is>
      </c>
      <c r="C37" s="11" t="inlineStr">
        <is>
          <t>JBG9A87</t>
        </is>
      </c>
      <c r="D37" s="24" t="inlineStr">
        <is>
          <t>46º BPM</t>
        </is>
      </c>
      <c r="E37" s="25" t="n">
        <v>70483</v>
      </c>
      <c r="F37" s="25" t="n">
        <v>70174</v>
      </c>
      <c r="G37" s="25" t="n">
        <v>309</v>
      </c>
      <c r="H37" s="15" t="n">
        <v>32.91</v>
      </c>
      <c r="I37" s="15" t="n">
        <v>9.390000000000001</v>
      </c>
      <c r="J37" s="16" t="n">
        <v>6.15</v>
      </c>
      <c r="K37" s="16" t="n">
        <v>202.4</v>
      </c>
      <c r="L37" s="16" t="n">
        <v>0.66</v>
      </c>
      <c r="M37" s="11" t="inlineStr">
        <is>
          <t>Diesel S10</t>
        </is>
      </c>
      <c r="N37" s="24" t="inlineStr">
        <is>
          <t>Auto Posto Shell Santa Tecla (Bagé)</t>
        </is>
      </c>
      <c r="O37" s="11" t="inlineStr">
        <is>
          <t>Bagé</t>
        </is>
      </c>
      <c r="P37" s="24" t="inlineStr">
        <is>
          <t>Sd PM Souza</t>
        </is>
      </c>
      <c r="Q37" s="24" t="inlineStr"/>
    </row>
    <row r="38">
      <c r="A38" s="5" t="inlineStr">
        <is>
          <t>2026-09-14 12:01</t>
        </is>
      </c>
      <c r="B38" s="5" t="inlineStr">
        <is>
          <t>BM-12450</t>
        </is>
      </c>
      <c r="C38" s="5" t="inlineStr">
        <is>
          <t>IXO8A12</t>
        </is>
      </c>
      <c r="D38" s="22" t="inlineStr">
        <is>
          <t>46º BPM</t>
        </is>
      </c>
      <c r="E38" s="23" t="n">
        <v>45866</v>
      </c>
      <c r="F38" s="23" t="n">
        <v>45551</v>
      </c>
      <c r="G38" s="23" t="n">
        <v>315</v>
      </c>
      <c r="H38" s="9" t="n">
        <v>36.99</v>
      </c>
      <c r="I38" s="9" t="n">
        <v>8.52</v>
      </c>
      <c r="J38" s="10" t="n">
        <v>6.07</v>
      </c>
      <c r="K38" s="10" t="n">
        <v>224.53</v>
      </c>
      <c r="L38" s="10" t="n">
        <v>0.71</v>
      </c>
      <c r="M38" s="5" t="inlineStr">
        <is>
          <t>Gasolina Comum</t>
        </is>
      </c>
      <c r="N38" s="22" t="inlineStr">
        <is>
          <t>Posto Ipiranga Tiaraju (Bagé)</t>
        </is>
      </c>
      <c r="O38" s="5" t="inlineStr">
        <is>
          <t>Bagé</t>
        </is>
      </c>
      <c r="P38" s="22" t="inlineStr">
        <is>
          <t>Sd PM Ferreira</t>
        </is>
      </c>
      <c r="Q38" s="22" t="inlineStr"/>
    </row>
    <row r="39">
      <c r="A39" s="11" t="inlineStr">
        <is>
          <t>2026-09-14 12:01</t>
        </is>
      </c>
      <c r="B39" s="11" t="inlineStr">
        <is>
          <t>BM-15010</t>
        </is>
      </c>
      <c r="C39" s="11" t="inlineStr">
        <is>
          <t>JZZ7C34</t>
        </is>
      </c>
      <c r="D39" s="24" t="inlineStr">
        <is>
          <t>Chevrolet Spin 1.8</t>
        </is>
      </c>
      <c r="E39" s="25" t="n">
        <v>90389</v>
      </c>
      <c r="F39" s="25" t="n">
        <v>90069</v>
      </c>
      <c r="G39" s="25" t="n">
        <v>320</v>
      </c>
      <c r="H39" s="15" t="n">
        <v>33.64</v>
      </c>
      <c r="I39" s="15" t="n">
        <v>9.51</v>
      </c>
      <c r="J39" s="16" t="n">
        <v>6.06</v>
      </c>
      <c r="K39" s="16" t="n">
        <v>203.86</v>
      </c>
      <c r="L39" s="16" t="n">
        <v>0.64</v>
      </c>
      <c r="M39" s="11" t="inlineStr">
        <is>
          <t>Gasolina Comum</t>
        </is>
      </c>
      <c r="N39" s="24" t="inlineStr">
        <is>
          <t>Posto Ipiranga Tiaraju (Bagé)</t>
        </is>
      </c>
      <c r="O39" s="11" t="inlineStr">
        <is>
          <t>Bagé</t>
        </is>
      </c>
      <c r="P39" s="24" t="inlineStr">
        <is>
          <t>Sd PM Santos</t>
        </is>
      </c>
      <c r="Q39" s="24" t="inlineStr"/>
    </row>
    <row r="40">
      <c r="A40" s="5" t="inlineStr">
        <is>
          <t>2026-09-14 12:01</t>
        </is>
      </c>
      <c r="B40" s="5" t="inlineStr">
        <is>
          <t>BM-13100</t>
        </is>
      </c>
      <c r="C40" s="5" t="inlineStr">
        <is>
          <t>JBG9A87</t>
        </is>
      </c>
      <c r="D40" s="22" t="inlineStr">
        <is>
          <t>Toyota Hilux 4x4</t>
        </is>
      </c>
      <c r="E40" s="23" t="n">
        <v>70483</v>
      </c>
      <c r="F40" s="23" t="n">
        <v>70174</v>
      </c>
      <c r="G40" s="23" t="n">
        <v>309</v>
      </c>
      <c r="H40" s="9" t="n">
        <v>32.91</v>
      </c>
      <c r="I40" s="9" t="n">
        <v>9.390000000000001</v>
      </c>
      <c r="J40" s="10" t="n">
        <v>6.15</v>
      </c>
      <c r="K40" s="10" t="n">
        <v>202.4</v>
      </c>
      <c r="L40" s="10" t="n">
        <v>0.66</v>
      </c>
      <c r="M40" s="5" t="inlineStr">
        <is>
          <t>Diesel S10</t>
        </is>
      </c>
      <c r="N40" s="22" t="inlineStr">
        <is>
          <t>Auto Posto Shell Santa Tecla (Bagé)</t>
        </is>
      </c>
      <c r="O40" s="5" t="inlineStr">
        <is>
          <t>Bagé</t>
        </is>
      </c>
      <c r="P40" s="22" t="inlineStr">
        <is>
          <t>Sd PM Souza</t>
        </is>
      </c>
      <c r="Q40" s="22" t="inlineStr"/>
    </row>
    <row r="41">
      <c r="A41" s="11" t="inlineStr">
        <is>
          <t>2026-09-14 12:01</t>
        </is>
      </c>
      <c r="B41" s="11" t="inlineStr">
        <is>
          <t>BM-12450</t>
        </is>
      </c>
      <c r="C41" s="11" t="inlineStr">
        <is>
          <t>IXO8A12</t>
        </is>
      </c>
      <c r="D41" s="24" t="inlineStr">
        <is>
          <t>Renault Duster 1.6</t>
        </is>
      </c>
      <c r="E41" s="25" t="n">
        <v>45866</v>
      </c>
      <c r="F41" s="25" t="n">
        <v>45551</v>
      </c>
      <c r="G41" s="25" t="n">
        <v>315</v>
      </c>
      <c r="H41" s="15" t="n">
        <v>36.99</v>
      </c>
      <c r="I41" s="15" t="n">
        <v>8.52</v>
      </c>
      <c r="J41" s="16" t="n">
        <v>6.07</v>
      </c>
      <c r="K41" s="16" t="n">
        <v>224.53</v>
      </c>
      <c r="L41" s="16" t="n">
        <v>0.71</v>
      </c>
      <c r="M41" s="11" t="inlineStr">
        <is>
          <t>Gasolina Comum</t>
        </is>
      </c>
      <c r="N41" s="24" t="inlineStr">
        <is>
          <t>Posto Ipiranga Tiaraju (Bagé)</t>
        </is>
      </c>
      <c r="O41" s="11" t="inlineStr">
        <is>
          <t>Bagé</t>
        </is>
      </c>
      <c r="P41" s="24" t="inlineStr">
        <is>
          <t>Sd PM Ferreira</t>
        </is>
      </c>
      <c r="Q41" s="24" t="inlineStr"/>
    </row>
    <row r="42">
      <c r="A42" s="5" t="inlineStr">
        <is>
          <t>2026-09-13 09:18</t>
        </is>
      </c>
      <c r="B42" s="5" t="inlineStr">
        <is>
          <t>BM-13100</t>
        </is>
      </c>
      <c r="C42" s="5" t="inlineStr">
        <is>
          <t>JBG9A87</t>
        </is>
      </c>
      <c r="D42" s="22" t="inlineStr">
        <is>
          <t>46º BPM</t>
        </is>
      </c>
      <c r="E42" s="23" t="n">
        <v>70174</v>
      </c>
      <c r="F42" s="23" t="n">
        <v>69823</v>
      </c>
      <c r="G42" s="23" t="n">
        <v>351</v>
      </c>
      <c r="H42" s="9" t="n">
        <v>37.19</v>
      </c>
      <c r="I42" s="9" t="n">
        <v>9.44</v>
      </c>
      <c r="J42" s="10" t="n">
        <v>6.04</v>
      </c>
      <c r="K42" s="10" t="n">
        <v>224.63</v>
      </c>
      <c r="L42" s="10" t="n">
        <v>0.64</v>
      </c>
      <c r="M42" s="5" t="inlineStr">
        <is>
          <t>Diesel S10</t>
        </is>
      </c>
      <c r="N42" s="22" t="inlineStr">
        <is>
          <t>Posto Petrobras Centro Bagé</t>
        </is>
      </c>
      <c r="O42" s="5" t="inlineStr">
        <is>
          <t>Bagé</t>
        </is>
      </c>
      <c r="P42" s="22" t="inlineStr">
        <is>
          <t>Sd PM Souza</t>
        </is>
      </c>
      <c r="Q42" s="22" t="inlineStr"/>
    </row>
    <row r="43">
      <c r="A43" s="11" t="inlineStr">
        <is>
          <t>2026-09-13 09:18</t>
        </is>
      </c>
      <c r="B43" s="11" t="inlineStr">
        <is>
          <t>BM-15012</t>
        </is>
      </c>
      <c r="C43" s="11" t="inlineStr">
        <is>
          <t>JZZ7C40</t>
        </is>
      </c>
      <c r="D43" s="24" t="inlineStr">
        <is>
          <t>Chevrolet Spin 1.8</t>
        </is>
      </c>
      <c r="E43" s="25" t="n">
        <v>97668</v>
      </c>
      <c r="F43" s="25" t="n">
        <v>97297</v>
      </c>
      <c r="G43" s="25" t="n">
        <v>371</v>
      </c>
      <c r="H43" s="15" t="n">
        <v>41.1</v>
      </c>
      <c r="I43" s="15" t="n">
        <v>9.029999999999999</v>
      </c>
      <c r="J43" s="16" t="n">
        <v>6.15</v>
      </c>
      <c r="K43" s="16" t="n">
        <v>252.77</v>
      </c>
      <c r="L43" s="16" t="n">
        <v>0.68</v>
      </c>
      <c r="M43" s="11" t="inlineStr">
        <is>
          <t>Gasolina Comum</t>
        </is>
      </c>
      <c r="N43" s="24" t="inlineStr">
        <is>
          <t>Auto Posto Shell Santa Tecla (Bagé)</t>
        </is>
      </c>
      <c r="O43" s="11" t="inlineStr">
        <is>
          <t>Bagé</t>
        </is>
      </c>
      <c r="P43" s="24" t="inlineStr">
        <is>
          <t>Sd PM Ferreira</t>
        </is>
      </c>
      <c r="Q43" s="24" t="inlineStr"/>
    </row>
    <row r="44">
      <c r="A44" s="5" t="inlineStr">
        <is>
          <t>2026-09-13 09:18</t>
        </is>
      </c>
      <c r="B44" s="5" t="inlineStr">
        <is>
          <t>BM-14205</t>
        </is>
      </c>
      <c r="C44" s="5" t="inlineStr">
        <is>
          <t>JCY4B15</t>
        </is>
      </c>
      <c r="D44" s="22" t="inlineStr">
        <is>
          <t>Toyota Corolla 2.0</t>
        </is>
      </c>
      <c r="E44" s="23" t="n">
        <v>39466</v>
      </c>
      <c r="F44" s="23" t="n">
        <v>39000</v>
      </c>
      <c r="G44" s="23" t="n">
        <v>466</v>
      </c>
      <c r="H44" s="9" t="n">
        <v>45.66</v>
      </c>
      <c r="I44" s="9" t="n">
        <v>10.21</v>
      </c>
      <c r="J44" s="10" t="n">
        <v>6.27</v>
      </c>
      <c r="K44" s="10" t="n">
        <v>286.29</v>
      </c>
      <c r="L44" s="10" t="n">
        <v>0.61</v>
      </c>
      <c r="M44" s="5" t="inlineStr">
        <is>
          <t>Gasolina Comum</t>
        </is>
      </c>
      <c r="N44" s="22" t="inlineStr">
        <is>
          <t>Posto Ipiranga Tiaraju (Bagé)</t>
        </is>
      </c>
      <c r="O44" s="5" t="inlineStr">
        <is>
          <t>Bagé</t>
        </is>
      </c>
      <c r="P44" s="22" t="inlineStr">
        <is>
          <t>Sd PM Pereira</t>
        </is>
      </c>
      <c r="Q44" s="22" t="inlineStr"/>
    </row>
    <row r="45">
      <c r="A45" s="11" t="inlineStr">
        <is>
          <t>2026-09-13 09:18</t>
        </is>
      </c>
      <c r="B45" s="11" t="inlineStr">
        <is>
          <t>BM-13105</t>
        </is>
      </c>
      <c r="C45" s="11" t="inlineStr">
        <is>
          <t>JBG9A90</t>
        </is>
      </c>
      <c r="D45" s="24" t="inlineStr">
        <is>
          <t>Toyota Hilux 4x4</t>
        </is>
      </c>
      <c r="E45" s="25" t="n">
        <v>83413</v>
      </c>
      <c r="F45" s="25" t="n">
        <v>83103</v>
      </c>
      <c r="G45" s="25" t="n">
        <v>310</v>
      </c>
      <c r="H45" s="15" t="n">
        <v>33.11</v>
      </c>
      <c r="I45" s="15" t="n">
        <v>9.359999999999999</v>
      </c>
      <c r="J45" s="16" t="n">
        <v>6.01</v>
      </c>
      <c r="K45" s="16" t="n">
        <v>198.99</v>
      </c>
      <c r="L45" s="16" t="n">
        <v>0.64</v>
      </c>
      <c r="M45" s="11" t="inlineStr">
        <is>
          <t>Diesel S10</t>
        </is>
      </c>
      <c r="N45" s="24" t="inlineStr">
        <is>
          <t>Posto Petrobras Centro Bagé</t>
        </is>
      </c>
      <c r="O45" s="11" t="inlineStr">
        <is>
          <t>Bagé</t>
        </is>
      </c>
      <c r="P45" s="24" t="inlineStr">
        <is>
          <t>Sd PM Oliveira</t>
        </is>
      </c>
      <c r="Q45" s="24" t="inlineStr"/>
    </row>
    <row r="46">
      <c r="A46" s="5" t="inlineStr">
        <is>
          <t>2026-09-13 09:18</t>
        </is>
      </c>
      <c r="B46" s="5" t="inlineStr">
        <is>
          <t>BM-13100</t>
        </is>
      </c>
      <c r="C46" s="5" t="inlineStr">
        <is>
          <t>JBG9A87</t>
        </is>
      </c>
      <c r="D46" s="22" t="inlineStr">
        <is>
          <t>Toyota Hilux 4x4</t>
        </is>
      </c>
      <c r="E46" s="23" t="n">
        <v>70174</v>
      </c>
      <c r="F46" s="23" t="n">
        <v>69823</v>
      </c>
      <c r="G46" s="23" t="n">
        <v>351</v>
      </c>
      <c r="H46" s="9" t="n">
        <v>37.19</v>
      </c>
      <c r="I46" s="9" t="n">
        <v>9.44</v>
      </c>
      <c r="J46" s="10" t="n">
        <v>6.04</v>
      </c>
      <c r="K46" s="10" t="n">
        <v>224.63</v>
      </c>
      <c r="L46" s="10" t="n">
        <v>0.64</v>
      </c>
      <c r="M46" s="5" t="inlineStr">
        <is>
          <t>Diesel S10</t>
        </is>
      </c>
      <c r="N46" s="22" t="inlineStr">
        <is>
          <t>Posto Petrobras Centro Bagé</t>
        </is>
      </c>
      <c r="O46" s="5" t="inlineStr">
        <is>
          <t>Bagé</t>
        </is>
      </c>
      <c r="P46" s="22" t="inlineStr">
        <is>
          <t>Sd PM Souza</t>
        </is>
      </c>
      <c r="Q46" s="22" t="inlineStr"/>
    </row>
    <row r="47">
      <c r="A47" s="11" t="inlineStr">
        <is>
          <t>2026-09-12 02:18</t>
        </is>
      </c>
      <c r="B47" s="11" t="inlineStr">
        <is>
          <t>BM-14200</t>
        </is>
      </c>
      <c r="C47" s="11" t="inlineStr">
        <is>
          <t>JCY4B11</t>
        </is>
      </c>
      <c r="D47" s="24" t="inlineStr">
        <is>
          <t>46º BPM</t>
        </is>
      </c>
      <c r="E47" s="25" t="n">
        <v>34212</v>
      </c>
      <c r="F47" s="25" t="n">
        <v>33706</v>
      </c>
      <c r="G47" s="25" t="n">
        <v>506</v>
      </c>
      <c r="H47" s="15" t="n">
        <v>48.83</v>
      </c>
      <c r="I47" s="15" t="n">
        <v>10.36</v>
      </c>
      <c r="J47" s="16" t="n">
        <v>6.38</v>
      </c>
      <c r="K47" s="16" t="n">
        <v>311.54</v>
      </c>
      <c r="L47" s="16" t="n">
        <v>0.62</v>
      </c>
      <c r="M47" s="11" t="inlineStr">
        <is>
          <t>Gasolina Aditivada</t>
        </is>
      </c>
      <c r="N47" s="24" t="inlineStr">
        <is>
          <t>Posto Petrobras Centro Bagé</t>
        </is>
      </c>
      <c r="O47" s="11" t="inlineStr">
        <is>
          <t>Bagé</t>
        </is>
      </c>
      <c r="P47" s="24" t="inlineStr">
        <is>
          <t>Sd PM Rodrigues</t>
        </is>
      </c>
      <c r="Q47" s="24" t="inlineStr"/>
    </row>
    <row r="48">
      <c r="A48" s="5" t="inlineStr">
        <is>
          <t>2026-09-12 02:18</t>
        </is>
      </c>
      <c r="B48" s="5" t="inlineStr">
        <is>
          <t>BM-12450</t>
        </is>
      </c>
      <c r="C48" s="5" t="inlineStr">
        <is>
          <t>IXO8A12</t>
        </is>
      </c>
      <c r="D48" s="22" t="inlineStr">
        <is>
          <t>46º BPM</t>
        </is>
      </c>
      <c r="E48" s="23" t="n">
        <v>45551</v>
      </c>
      <c r="F48" s="23" t="n">
        <v>45136</v>
      </c>
      <c r="G48" s="23" t="n">
        <v>415</v>
      </c>
      <c r="H48" s="9" t="n">
        <v>50</v>
      </c>
      <c r="I48" s="9" t="n">
        <v>8.300000000000001</v>
      </c>
      <c r="J48" s="10" t="n">
        <v>6.15</v>
      </c>
      <c r="K48" s="10" t="n">
        <v>307.5</v>
      </c>
      <c r="L48" s="10" t="n">
        <v>0.74</v>
      </c>
      <c r="M48" s="5" t="inlineStr">
        <is>
          <t>Gasolina Comum</t>
        </is>
      </c>
      <c r="N48" s="22" t="inlineStr">
        <is>
          <t>Auto Posto Shell Santa Tecla (Bagé)</t>
        </is>
      </c>
      <c r="O48" s="5" t="inlineStr">
        <is>
          <t>Bagé</t>
        </is>
      </c>
      <c r="P48" s="22" t="inlineStr">
        <is>
          <t>Sd PM Santos</t>
        </is>
      </c>
      <c r="Q48" s="22" t="inlineStr"/>
    </row>
    <row r="49">
      <c r="A49" s="11" t="inlineStr">
        <is>
          <t>2026-09-12 02:18</t>
        </is>
      </c>
      <c r="B49" s="11" t="inlineStr">
        <is>
          <t>BM-14205</t>
        </is>
      </c>
      <c r="C49" s="11" t="inlineStr">
        <is>
          <t>JCY4B15</t>
        </is>
      </c>
      <c r="D49" s="24" t="inlineStr">
        <is>
          <t>Toyota Corolla 2.0</t>
        </is>
      </c>
      <c r="E49" s="25" t="n">
        <v>39000</v>
      </c>
      <c r="F49" s="25" t="n">
        <v>38590</v>
      </c>
      <c r="G49" s="25" t="n">
        <v>410</v>
      </c>
      <c r="H49" s="15" t="n">
        <v>42.15</v>
      </c>
      <c r="I49" s="15" t="n">
        <v>9.73</v>
      </c>
      <c r="J49" s="16" t="n">
        <v>6.12</v>
      </c>
      <c r="K49" s="16" t="n">
        <v>257.96</v>
      </c>
      <c r="L49" s="16" t="n">
        <v>0.63</v>
      </c>
      <c r="M49" s="11" t="inlineStr">
        <is>
          <t>Gasolina Comum</t>
        </is>
      </c>
      <c r="N49" s="24" t="inlineStr">
        <is>
          <t>Posto Ipiranga Tiaraju (Bagé)</t>
        </is>
      </c>
      <c r="O49" s="11" t="inlineStr">
        <is>
          <t>Bagé</t>
        </is>
      </c>
      <c r="P49" s="24" t="inlineStr">
        <is>
          <t>Sd PM Santos</t>
        </is>
      </c>
      <c r="Q49" s="24" t="inlineStr"/>
    </row>
    <row r="50">
      <c r="A50" s="5" t="inlineStr">
        <is>
          <t>2026-09-12 02:18</t>
        </is>
      </c>
      <c r="B50" s="5" t="inlineStr">
        <is>
          <t>BM-14200</t>
        </is>
      </c>
      <c r="C50" s="5" t="inlineStr">
        <is>
          <t>JCY4B11</t>
        </is>
      </c>
      <c r="D50" s="22" t="inlineStr">
        <is>
          <t>Toyota Corolla 2.0</t>
        </is>
      </c>
      <c r="E50" s="23" t="n">
        <v>34212</v>
      </c>
      <c r="F50" s="23" t="n">
        <v>33706</v>
      </c>
      <c r="G50" s="23" t="n">
        <v>506</v>
      </c>
      <c r="H50" s="9" t="n">
        <v>48.83</v>
      </c>
      <c r="I50" s="9" t="n">
        <v>10.36</v>
      </c>
      <c r="J50" s="10" t="n">
        <v>6.38</v>
      </c>
      <c r="K50" s="10" t="n">
        <v>311.54</v>
      </c>
      <c r="L50" s="10" t="n">
        <v>0.62</v>
      </c>
      <c r="M50" s="5" t="inlineStr">
        <is>
          <t>Gasolina Aditivada</t>
        </is>
      </c>
      <c r="N50" s="22" t="inlineStr">
        <is>
          <t>Posto Petrobras Centro Bagé</t>
        </is>
      </c>
      <c r="O50" s="5" t="inlineStr">
        <is>
          <t>Bagé</t>
        </is>
      </c>
      <c r="P50" s="22" t="inlineStr">
        <is>
          <t>Sd PM Rodrigues</t>
        </is>
      </c>
      <c r="Q50" s="22" t="inlineStr"/>
    </row>
    <row r="51">
      <c r="A51" s="11" t="inlineStr">
        <is>
          <t>2026-09-12 02:18</t>
        </is>
      </c>
      <c r="B51" s="11" t="inlineStr">
        <is>
          <t>BM-12450</t>
        </is>
      </c>
      <c r="C51" s="11" t="inlineStr">
        <is>
          <t>IXO8A12</t>
        </is>
      </c>
      <c r="D51" s="24" t="inlineStr">
        <is>
          <t>Renault Duster 1.6</t>
        </is>
      </c>
      <c r="E51" s="25" t="n">
        <v>45551</v>
      </c>
      <c r="F51" s="25" t="n">
        <v>45136</v>
      </c>
      <c r="G51" s="25" t="n">
        <v>415</v>
      </c>
      <c r="H51" s="15" t="n">
        <v>50</v>
      </c>
      <c r="I51" s="15" t="n">
        <v>8.300000000000001</v>
      </c>
      <c r="J51" s="16" t="n">
        <v>6.15</v>
      </c>
      <c r="K51" s="16" t="n">
        <v>307.5</v>
      </c>
      <c r="L51" s="16" t="n">
        <v>0.74</v>
      </c>
      <c r="M51" s="11" t="inlineStr">
        <is>
          <t>Gasolina Comum</t>
        </is>
      </c>
      <c r="N51" s="24" t="inlineStr">
        <is>
          <t>Auto Posto Shell Santa Tecla (Bagé)</t>
        </is>
      </c>
      <c r="O51" s="11" t="inlineStr">
        <is>
          <t>Bagé</t>
        </is>
      </c>
      <c r="P51" s="24" t="inlineStr">
        <is>
          <t>Sd PM Santos</t>
        </is>
      </c>
      <c r="Q51" s="24" t="inlineStr"/>
    </row>
    <row r="52">
      <c r="A52" s="5" t="inlineStr">
        <is>
          <t>2026-09-11 03:49</t>
        </is>
      </c>
      <c r="B52" s="5" t="inlineStr">
        <is>
          <t>BM-15012</t>
        </is>
      </c>
      <c r="C52" s="5" t="inlineStr">
        <is>
          <t>JZZ7C40</t>
        </is>
      </c>
      <c r="D52" s="22" t="inlineStr">
        <is>
          <t>Chevrolet Spin 1.8</t>
        </is>
      </c>
      <c r="E52" s="23" t="n">
        <v>97297</v>
      </c>
      <c r="F52" s="23" t="n">
        <v>96885</v>
      </c>
      <c r="G52" s="23" t="n">
        <v>412</v>
      </c>
      <c r="H52" s="9" t="n">
        <v>48.35</v>
      </c>
      <c r="I52" s="9" t="n">
        <v>8.52</v>
      </c>
      <c r="J52" s="10" t="n">
        <v>6.07</v>
      </c>
      <c r="K52" s="10" t="n">
        <v>293.48</v>
      </c>
      <c r="L52" s="10" t="n">
        <v>0.71</v>
      </c>
      <c r="M52" s="5" t="inlineStr">
        <is>
          <t>Gasolina Comum</t>
        </is>
      </c>
      <c r="N52" s="22" t="inlineStr">
        <is>
          <t>Posto Ipiranga Tiaraju (Bagé)</t>
        </is>
      </c>
      <c r="O52" s="5" t="inlineStr">
        <is>
          <t>Bagé</t>
        </is>
      </c>
      <c r="P52" s="22" t="inlineStr">
        <is>
          <t>Sd PM Rodrigues</t>
        </is>
      </c>
      <c r="Q52" s="22" t="inlineStr"/>
    </row>
    <row r="53">
      <c r="A53" s="11" t="inlineStr">
        <is>
          <t>2026-09-11 03:49</t>
        </is>
      </c>
      <c r="B53" s="11" t="inlineStr">
        <is>
          <t>BM-14205</t>
        </is>
      </c>
      <c r="C53" s="11" t="inlineStr">
        <is>
          <t>JCY4B15</t>
        </is>
      </c>
      <c r="D53" s="24" t="inlineStr">
        <is>
          <t>Toyota Corolla 2.0</t>
        </is>
      </c>
      <c r="E53" s="25" t="n">
        <v>38590</v>
      </c>
      <c r="F53" s="25" t="n">
        <v>38226</v>
      </c>
      <c r="G53" s="25" t="n">
        <v>364</v>
      </c>
      <c r="H53" s="15" t="n">
        <v>37.21</v>
      </c>
      <c r="I53" s="15" t="n">
        <v>9.779999999999999</v>
      </c>
      <c r="J53" s="16" t="n">
        <v>6.09</v>
      </c>
      <c r="K53" s="16" t="n">
        <v>226.61</v>
      </c>
      <c r="L53" s="16" t="n">
        <v>0.62</v>
      </c>
      <c r="M53" s="11" t="inlineStr">
        <is>
          <t>Gasolina Comum</t>
        </is>
      </c>
      <c r="N53" s="24" t="inlineStr">
        <is>
          <t>Posto Ipiranga Tiaraju (Bagé)</t>
        </is>
      </c>
      <c r="O53" s="11" t="inlineStr">
        <is>
          <t>Bagé</t>
        </is>
      </c>
      <c r="P53" s="24" t="inlineStr">
        <is>
          <t>Sd PM Silva</t>
        </is>
      </c>
      <c r="Q53" s="24" t="inlineStr"/>
    </row>
    <row r="54">
      <c r="A54" s="5" t="inlineStr">
        <is>
          <t>2026-09-11 03:49</t>
        </is>
      </c>
      <c r="B54" s="5" t="inlineStr">
        <is>
          <t>BM-13105</t>
        </is>
      </c>
      <c r="C54" s="5" t="inlineStr">
        <is>
          <t>JBG9A90</t>
        </is>
      </c>
      <c r="D54" s="22" t="inlineStr">
        <is>
          <t>Toyota Hilux 4x4</t>
        </is>
      </c>
      <c r="E54" s="23" t="n">
        <v>83103</v>
      </c>
      <c r="F54" s="23" t="n">
        <v>82706</v>
      </c>
      <c r="G54" s="23" t="n">
        <v>397</v>
      </c>
      <c r="H54" s="9" t="n">
        <v>45.98</v>
      </c>
      <c r="I54" s="9" t="n">
        <v>8.630000000000001</v>
      </c>
      <c r="J54" s="10" t="n">
        <v>6.14</v>
      </c>
      <c r="K54" s="10" t="n">
        <v>282.32</v>
      </c>
      <c r="L54" s="10" t="n">
        <v>0.71</v>
      </c>
      <c r="M54" s="5" t="inlineStr">
        <is>
          <t>Diesel S10</t>
        </is>
      </c>
      <c r="N54" s="22" t="inlineStr">
        <is>
          <t>Posto Petrobras Centro Bagé</t>
        </is>
      </c>
      <c r="O54" s="5" t="inlineStr">
        <is>
          <t>Bagé</t>
        </is>
      </c>
      <c r="P54" s="22" t="inlineStr">
        <is>
          <t>Sd PM Oliveira</t>
        </is>
      </c>
      <c r="Q54" s="22" t="inlineStr"/>
    </row>
    <row r="55">
      <c r="A55" s="11" t="inlineStr">
        <is>
          <t>2026-09-10 13:15</t>
        </is>
      </c>
      <c r="B55" s="11" t="inlineStr">
        <is>
          <t>BM-14200</t>
        </is>
      </c>
      <c r="C55" s="11" t="inlineStr">
        <is>
          <t>JCY4B11</t>
        </is>
      </c>
      <c r="D55" s="24" t="inlineStr">
        <is>
          <t>46º BPM</t>
        </is>
      </c>
      <c r="E55" s="25" t="n">
        <v>33706</v>
      </c>
      <c r="F55" s="25" t="n">
        <v>33332</v>
      </c>
      <c r="G55" s="25" t="n">
        <v>374</v>
      </c>
      <c r="H55" s="15" t="n">
        <v>34.54</v>
      </c>
      <c r="I55" s="15" t="n">
        <v>10.83</v>
      </c>
      <c r="J55" s="16" t="n">
        <v>6.5</v>
      </c>
      <c r="K55" s="16" t="n">
        <v>224.51</v>
      </c>
      <c r="L55" s="16" t="n">
        <v>0.6</v>
      </c>
      <c r="M55" s="11" t="inlineStr">
        <is>
          <t>Gasolina Aditivada</t>
        </is>
      </c>
      <c r="N55" s="24" t="inlineStr">
        <is>
          <t>Posto da Guarnição Militar Bagé</t>
        </is>
      </c>
      <c r="O55" s="11" t="inlineStr">
        <is>
          <t>Bagé</t>
        </is>
      </c>
      <c r="P55" s="24" t="inlineStr">
        <is>
          <t>Sd PM Souza</t>
        </is>
      </c>
      <c r="Q55" s="24" t="inlineStr"/>
    </row>
    <row r="56">
      <c r="A56" s="5" t="inlineStr">
        <is>
          <t>2026-09-10 13:15</t>
        </is>
      </c>
      <c r="B56" s="5" t="inlineStr">
        <is>
          <t>BM-12450</t>
        </is>
      </c>
      <c r="C56" s="5" t="inlineStr">
        <is>
          <t>IXO8A12</t>
        </is>
      </c>
      <c r="D56" s="22" t="inlineStr">
        <is>
          <t>46º BPM</t>
        </is>
      </c>
      <c r="E56" s="23" t="n">
        <v>45136</v>
      </c>
      <c r="F56" s="23" t="n">
        <v>44674</v>
      </c>
      <c r="G56" s="23" t="n">
        <v>462</v>
      </c>
      <c r="H56" s="9" t="n">
        <v>51.43</v>
      </c>
      <c r="I56" s="9" t="n">
        <v>8.98</v>
      </c>
      <c r="J56" s="10" t="n">
        <v>6.24</v>
      </c>
      <c r="K56" s="10" t="n">
        <v>320.92</v>
      </c>
      <c r="L56" s="10" t="n">
        <v>0.6899999999999999</v>
      </c>
      <c r="M56" s="5" t="inlineStr">
        <is>
          <t>Gasolina Comum</t>
        </is>
      </c>
      <c r="N56" s="22" t="inlineStr">
        <is>
          <t>Posto da Guarnição Militar Bagé</t>
        </is>
      </c>
      <c r="O56" s="5" t="inlineStr">
        <is>
          <t>Bagé</t>
        </is>
      </c>
      <c r="P56" s="22" t="inlineStr">
        <is>
          <t>Sd PM Silva</t>
        </is>
      </c>
      <c r="Q56" s="22" t="inlineStr"/>
    </row>
    <row r="57">
      <c r="A57" s="11" t="inlineStr">
        <is>
          <t>2026-09-10 13:15</t>
        </is>
      </c>
      <c r="B57" s="11" t="inlineStr">
        <is>
          <t>BM-15010</t>
        </is>
      </c>
      <c r="C57" s="11" t="inlineStr">
        <is>
          <t>JZZ7C34</t>
        </is>
      </c>
      <c r="D57" s="24" t="inlineStr">
        <is>
          <t>Chevrolet Spin 1.8</t>
        </is>
      </c>
      <c r="E57" s="25" t="n">
        <v>90069</v>
      </c>
      <c r="F57" s="25" t="n">
        <v>89699</v>
      </c>
      <c r="G57" s="25" t="n">
        <v>370</v>
      </c>
      <c r="H57" s="15" t="n">
        <v>41.61</v>
      </c>
      <c r="I57" s="15" t="n">
        <v>8.890000000000001</v>
      </c>
      <c r="J57" s="16" t="n">
        <v>6.12</v>
      </c>
      <c r="K57" s="16" t="n">
        <v>254.65</v>
      </c>
      <c r="L57" s="16" t="n">
        <v>0.6899999999999999</v>
      </c>
      <c r="M57" s="11" t="inlineStr">
        <is>
          <t>Gasolina Comum</t>
        </is>
      </c>
      <c r="N57" s="24" t="inlineStr">
        <is>
          <t>Posto da Guarnição Militar Bagé</t>
        </is>
      </c>
      <c r="O57" s="11" t="inlineStr">
        <is>
          <t>Bagé</t>
        </is>
      </c>
      <c r="P57" s="24" t="inlineStr">
        <is>
          <t>Sd PM Silva</t>
        </is>
      </c>
      <c r="Q57" s="24" t="inlineStr"/>
    </row>
    <row r="58">
      <c r="A58" s="5" t="inlineStr">
        <is>
          <t>2026-09-10 13:15</t>
        </is>
      </c>
      <c r="B58" s="5" t="inlineStr">
        <is>
          <t>BM-14200</t>
        </is>
      </c>
      <c r="C58" s="5" t="inlineStr">
        <is>
          <t>JCY4B11</t>
        </is>
      </c>
      <c r="D58" s="22" t="inlineStr">
        <is>
          <t>Toyota Corolla 2.0</t>
        </is>
      </c>
      <c r="E58" s="23" t="n">
        <v>33706</v>
      </c>
      <c r="F58" s="23" t="n">
        <v>33332</v>
      </c>
      <c r="G58" s="23" t="n">
        <v>374</v>
      </c>
      <c r="H58" s="9" t="n">
        <v>34.54</v>
      </c>
      <c r="I58" s="9" t="n">
        <v>10.83</v>
      </c>
      <c r="J58" s="10" t="n">
        <v>6.5</v>
      </c>
      <c r="K58" s="10" t="n">
        <v>224.51</v>
      </c>
      <c r="L58" s="10" t="n">
        <v>0.6</v>
      </c>
      <c r="M58" s="5" t="inlineStr">
        <is>
          <t>Gasolina Aditivada</t>
        </is>
      </c>
      <c r="N58" s="22" t="inlineStr">
        <is>
          <t>Posto da Guarnição Militar Bagé</t>
        </is>
      </c>
      <c r="O58" s="5" t="inlineStr">
        <is>
          <t>Bagé</t>
        </is>
      </c>
      <c r="P58" s="22" t="inlineStr">
        <is>
          <t>Sd PM Souza</t>
        </is>
      </c>
      <c r="Q58" s="22" t="inlineStr"/>
    </row>
    <row r="59">
      <c r="A59" s="11" t="inlineStr">
        <is>
          <t>2026-09-10 13:15</t>
        </is>
      </c>
      <c r="B59" s="11" t="inlineStr">
        <is>
          <t>BM-13105</t>
        </is>
      </c>
      <c r="C59" s="11" t="inlineStr">
        <is>
          <t>JBG9A90</t>
        </is>
      </c>
      <c r="D59" s="24" t="inlineStr">
        <is>
          <t>Toyota Hilux 4x4</t>
        </is>
      </c>
      <c r="E59" s="25" t="n">
        <v>82706</v>
      </c>
      <c r="F59" s="25" t="n">
        <v>82392</v>
      </c>
      <c r="G59" s="25" t="n">
        <v>314</v>
      </c>
      <c r="H59" s="15" t="n">
        <v>32.92</v>
      </c>
      <c r="I59" s="15" t="n">
        <v>9.539999999999999</v>
      </c>
      <c r="J59" s="16" t="n">
        <v>6.05</v>
      </c>
      <c r="K59" s="16" t="n">
        <v>199.17</v>
      </c>
      <c r="L59" s="16" t="n">
        <v>0.63</v>
      </c>
      <c r="M59" s="11" t="inlineStr">
        <is>
          <t>Diesel S10</t>
        </is>
      </c>
      <c r="N59" s="24" t="inlineStr">
        <is>
          <t>Posto Ipiranga Tiaraju (Bagé)</t>
        </is>
      </c>
      <c r="O59" s="11" t="inlineStr">
        <is>
          <t>Bagé</t>
        </is>
      </c>
      <c r="P59" s="24" t="inlineStr">
        <is>
          <t>Sd PM Oliveira</t>
        </is>
      </c>
      <c r="Q59" s="24" t="inlineStr"/>
    </row>
    <row r="60">
      <c r="A60" s="5" t="inlineStr">
        <is>
          <t>2026-09-10 13:15</t>
        </is>
      </c>
      <c r="B60" s="5" t="inlineStr">
        <is>
          <t>BM-12451</t>
        </is>
      </c>
      <c r="C60" s="5" t="inlineStr">
        <is>
          <t>IXO8A15</t>
        </is>
      </c>
      <c r="D60" s="22" t="inlineStr">
        <is>
          <t>Renault Duster 1.6</t>
        </is>
      </c>
      <c r="E60" s="23" t="n">
        <v>55017</v>
      </c>
      <c r="F60" s="23" t="n">
        <v>54607</v>
      </c>
      <c r="G60" s="23" t="n">
        <v>410</v>
      </c>
      <c r="H60" s="9" t="n">
        <v>48.72</v>
      </c>
      <c r="I60" s="9" t="n">
        <v>8.42</v>
      </c>
      <c r="J60" s="10" t="n">
        <v>6.17</v>
      </c>
      <c r="K60" s="10" t="n">
        <v>300.6</v>
      </c>
      <c r="L60" s="10" t="n">
        <v>0.73</v>
      </c>
      <c r="M60" s="5" t="inlineStr">
        <is>
          <t>Gasolina Comum</t>
        </is>
      </c>
      <c r="N60" s="22" t="inlineStr">
        <is>
          <t>Posto Petrobras Centro Bagé</t>
        </is>
      </c>
      <c r="O60" s="5" t="inlineStr">
        <is>
          <t>Bagé</t>
        </is>
      </c>
      <c r="P60" s="22" t="inlineStr">
        <is>
          <t>Sd PM Rodrigues</t>
        </is>
      </c>
      <c r="Q60" s="22" t="inlineStr"/>
    </row>
    <row r="61">
      <c r="A61" s="11" t="inlineStr">
        <is>
          <t>2026-09-10 13:15</t>
        </is>
      </c>
      <c r="B61" s="11" t="inlineStr">
        <is>
          <t>BM-12450</t>
        </is>
      </c>
      <c r="C61" s="11" t="inlineStr">
        <is>
          <t>IXO8A12</t>
        </is>
      </c>
      <c r="D61" s="24" t="inlineStr">
        <is>
          <t>Renault Duster 1.6</t>
        </is>
      </c>
      <c r="E61" s="25" t="n">
        <v>45136</v>
      </c>
      <c r="F61" s="25" t="n">
        <v>44674</v>
      </c>
      <c r="G61" s="25" t="n">
        <v>462</v>
      </c>
      <c r="H61" s="15" t="n">
        <v>51.43</v>
      </c>
      <c r="I61" s="15" t="n">
        <v>8.98</v>
      </c>
      <c r="J61" s="16" t="n">
        <v>6.24</v>
      </c>
      <c r="K61" s="16" t="n">
        <v>320.92</v>
      </c>
      <c r="L61" s="16" t="n">
        <v>0.6899999999999999</v>
      </c>
      <c r="M61" s="11" t="inlineStr">
        <is>
          <t>Gasolina Comum</t>
        </is>
      </c>
      <c r="N61" s="24" t="inlineStr">
        <is>
          <t>Posto da Guarnição Militar Bagé</t>
        </is>
      </c>
      <c r="O61" s="11" t="inlineStr">
        <is>
          <t>Bagé</t>
        </is>
      </c>
      <c r="P61" s="24" t="inlineStr">
        <is>
          <t>Sd PM Silva</t>
        </is>
      </c>
      <c r="Q61" s="24" t="inlineStr"/>
    </row>
    <row r="62">
      <c r="A62" s="5" t="inlineStr">
        <is>
          <t>2026-09-09 12:37</t>
        </is>
      </c>
      <c r="B62" s="5" t="inlineStr">
        <is>
          <t>BM-14200</t>
        </is>
      </c>
      <c r="C62" s="5" t="inlineStr">
        <is>
          <t>JCY4B11</t>
        </is>
      </c>
      <c r="D62" s="22" t="inlineStr">
        <is>
          <t>46º BPM</t>
        </is>
      </c>
      <c r="E62" s="23" t="n">
        <v>33332</v>
      </c>
      <c r="F62" s="23" t="n">
        <v>32890</v>
      </c>
      <c r="G62" s="23" t="n">
        <v>442</v>
      </c>
      <c r="H62" s="9" t="n">
        <v>44.01</v>
      </c>
      <c r="I62" s="9" t="n">
        <v>10.04</v>
      </c>
      <c r="J62" s="10" t="n">
        <v>6.35</v>
      </c>
      <c r="K62" s="10" t="n">
        <v>279.46</v>
      </c>
      <c r="L62" s="10" t="n">
        <v>0.63</v>
      </c>
      <c r="M62" s="5" t="inlineStr">
        <is>
          <t>Gasolina Aditivada</t>
        </is>
      </c>
      <c r="N62" s="22" t="inlineStr">
        <is>
          <t>Posto Ipiranga Tiaraju (Bagé)</t>
        </is>
      </c>
      <c r="O62" s="5" t="inlineStr">
        <is>
          <t>Bagé</t>
        </is>
      </c>
      <c r="P62" s="22" t="inlineStr">
        <is>
          <t>Sd PM Rodrigues</t>
        </is>
      </c>
      <c r="Q62" s="22" t="inlineStr"/>
    </row>
    <row r="63">
      <c r="A63" s="11" t="inlineStr">
        <is>
          <t>2026-09-09 12:37</t>
        </is>
      </c>
      <c r="B63" s="11" t="inlineStr">
        <is>
          <t>BM-15012</t>
        </is>
      </c>
      <c r="C63" s="11" t="inlineStr">
        <is>
          <t>JZZ7C40</t>
        </is>
      </c>
      <c r="D63" s="24" t="inlineStr">
        <is>
          <t>Chevrolet Spin 1.8</t>
        </is>
      </c>
      <c r="E63" s="25" t="n">
        <v>96885</v>
      </c>
      <c r="F63" s="25" t="n">
        <v>96530</v>
      </c>
      <c r="G63" s="25" t="n">
        <v>355</v>
      </c>
      <c r="H63" s="15" t="n">
        <v>43.38</v>
      </c>
      <c r="I63" s="15" t="n">
        <v>8.18</v>
      </c>
      <c r="J63" s="16" t="n">
        <v>6.28</v>
      </c>
      <c r="K63" s="16" t="n">
        <v>272.43</v>
      </c>
      <c r="L63" s="16" t="n">
        <v>0.77</v>
      </c>
      <c r="M63" s="11" t="inlineStr">
        <is>
          <t>Gasolina Comum</t>
        </is>
      </c>
      <c r="N63" s="24" t="inlineStr">
        <is>
          <t>Posto Ipiranga Tiaraju (Bagé)</t>
        </is>
      </c>
      <c r="O63" s="11" t="inlineStr">
        <is>
          <t>Bagé</t>
        </is>
      </c>
      <c r="P63" s="24" t="inlineStr">
        <is>
          <t>Sd PM Pereira</t>
        </is>
      </c>
      <c r="Q63" s="24" t="inlineStr"/>
    </row>
    <row r="64">
      <c r="A64" s="5" t="inlineStr">
        <is>
          <t>2026-09-09 12:37</t>
        </is>
      </c>
      <c r="B64" s="5" t="inlineStr">
        <is>
          <t>BM-14200</t>
        </is>
      </c>
      <c r="C64" s="5" t="inlineStr">
        <is>
          <t>JCY4B11</t>
        </is>
      </c>
      <c r="D64" s="22" t="inlineStr">
        <is>
          <t>Toyota Corolla 2.0</t>
        </is>
      </c>
      <c r="E64" s="23" t="n">
        <v>33332</v>
      </c>
      <c r="F64" s="23" t="n">
        <v>32890</v>
      </c>
      <c r="G64" s="23" t="n">
        <v>442</v>
      </c>
      <c r="H64" s="9" t="n">
        <v>44.01</v>
      </c>
      <c r="I64" s="9" t="n">
        <v>10.04</v>
      </c>
      <c r="J64" s="10" t="n">
        <v>6.35</v>
      </c>
      <c r="K64" s="10" t="n">
        <v>279.46</v>
      </c>
      <c r="L64" s="10" t="n">
        <v>0.63</v>
      </c>
      <c r="M64" s="5" t="inlineStr">
        <is>
          <t>Gasolina Aditivada</t>
        </is>
      </c>
      <c r="N64" s="22" t="inlineStr">
        <is>
          <t>Posto Ipiranga Tiaraju (Bagé)</t>
        </is>
      </c>
      <c r="O64" s="5" t="inlineStr">
        <is>
          <t>Bagé</t>
        </is>
      </c>
      <c r="P64" s="22" t="inlineStr">
        <is>
          <t>Sd PM Rodrigues</t>
        </is>
      </c>
      <c r="Q64" s="22" t="inlineStr"/>
    </row>
    <row r="65">
      <c r="A65" s="11" t="inlineStr">
        <is>
          <t>2026-09-07 09:34</t>
        </is>
      </c>
      <c r="B65" s="11" t="inlineStr">
        <is>
          <t>BM-12450</t>
        </is>
      </c>
      <c r="C65" s="11" t="inlineStr">
        <is>
          <t>IXO8A12</t>
        </is>
      </c>
      <c r="D65" s="24" t="inlineStr">
        <is>
          <t>46º BPM</t>
        </is>
      </c>
      <c r="E65" s="25" t="n">
        <v>44674</v>
      </c>
      <c r="F65" s="25" t="n">
        <v>44324</v>
      </c>
      <c r="G65" s="25" t="n">
        <v>350</v>
      </c>
      <c r="H65" s="15" t="n">
        <v>41.15</v>
      </c>
      <c r="I65" s="15" t="n">
        <v>8.51</v>
      </c>
      <c r="J65" s="16" t="n">
        <v>6.12</v>
      </c>
      <c r="K65" s="16" t="n">
        <v>251.84</v>
      </c>
      <c r="L65" s="16" t="n">
        <v>0.72</v>
      </c>
      <c r="M65" s="11" t="inlineStr">
        <is>
          <t>Gasolina Comum</t>
        </is>
      </c>
      <c r="N65" s="24" t="inlineStr">
        <is>
          <t>Posto Petrobras Centro Bagé</t>
        </is>
      </c>
      <c r="O65" s="11" t="inlineStr">
        <is>
          <t>Bagé</t>
        </is>
      </c>
      <c r="P65" s="24" t="inlineStr">
        <is>
          <t>Sd PM Souza</t>
        </is>
      </c>
      <c r="Q65" s="24" t="inlineStr"/>
    </row>
    <row r="66">
      <c r="A66" s="5" t="inlineStr">
        <is>
          <t>2026-09-07 09:34</t>
        </is>
      </c>
      <c r="B66" s="5" t="inlineStr">
        <is>
          <t>BM-15012</t>
        </is>
      </c>
      <c r="C66" s="5" t="inlineStr">
        <is>
          <t>JZZ7C40</t>
        </is>
      </c>
      <c r="D66" s="22" t="inlineStr">
        <is>
          <t>Chevrolet Spin 1.8</t>
        </is>
      </c>
      <c r="E66" s="23" t="n">
        <v>96530</v>
      </c>
      <c r="F66" s="23" t="n">
        <v>96106</v>
      </c>
      <c r="G66" s="23" t="n">
        <v>424</v>
      </c>
      <c r="H66" s="9" t="n">
        <v>47.34</v>
      </c>
      <c r="I66" s="9" t="n">
        <v>8.960000000000001</v>
      </c>
      <c r="J66" s="10" t="n">
        <v>6.15</v>
      </c>
      <c r="K66" s="10" t="n">
        <v>291.14</v>
      </c>
      <c r="L66" s="10" t="n">
        <v>0.6899999999999999</v>
      </c>
      <c r="M66" s="5" t="inlineStr">
        <is>
          <t>Gasolina Comum</t>
        </is>
      </c>
      <c r="N66" s="22" t="inlineStr">
        <is>
          <t>Posto da Guarnição Militar Bagé</t>
        </is>
      </c>
      <c r="O66" s="5" t="inlineStr">
        <is>
          <t>Bagé</t>
        </is>
      </c>
      <c r="P66" s="22" t="inlineStr">
        <is>
          <t>Sd PM Ferreira</t>
        </is>
      </c>
      <c r="Q66" s="22" t="inlineStr"/>
    </row>
    <row r="67">
      <c r="A67" s="11" t="inlineStr">
        <is>
          <t>2026-09-07 09:34</t>
        </is>
      </c>
      <c r="B67" s="11" t="inlineStr">
        <is>
          <t>BM-15010</t>
        </is>
      </c>
      <c r="C67" s="11" t="inlineStr">
        <is>
          <t>JZZ7C34</t>
        </is>
      </c>
      <c r="D67" s="24" t="inlineStr">
        <is>
          <t>Chevrolet Spin 1.8</t>
        </is>
      </c>
      <c r="E67" s="25" t="n">
        <v>89699</v>
      </c>
      <c r="F67" s="25" t="n">
        <v>89311</v>
      </c>
      <c r="G67" s="25" t="n">
        <v>388</v>
      </c>
      <c r="H67" s="15" t="n">
        <v>45</v>
      </c>
      <c r="I67" s="15" t="n">
        <v>8.619999999999999</v>
      </c>
      <c r="J67" s="16" t="n">
        <v>6.16</v>
      </c>
      <c r="K67" s="16" t="n">
        <v>277.2</v>
      </c>
      <c r="L67" s="16" t="n">
        <v>0.71</v>
      </c>
      <c r="M67" s="11" t="inlineStr">
        <is>
          <t>Gasolina Comum</t>
        </is>
      </c>
      <c r="N67" s="24" t="inlineStr">
        <is>
          <t>Posto Petrobras Centro Bagé</t>
        </is>
      </c>
      <c r="O67" s="11" t="inlineStr">
        <is>
          <t>Bagé</t>
        </is>
      </c>
      <c r="P67" s="24" t="inlineStr">
        <is>
          <t>Sd PM Silva</t>
        </is>
      </c>
      <c r="Q67" s="24" t="inlineStr"/>
    </row>
    <row r="68">
      <c r="A68" s="5" t="inlineStr">
        <is>
          <t>2026-09-07 09:34</t>
        </is>
      </c>
      <c r="B68" s="5" t="inlineStr">
        <is>
          <t>BM-12450</t>
        </is>
      </c>
      <c r="C68" s="5" t="inlineStr">
        <is>
          <t>IXO8A12</t>
        </is>
      </c>
      <c r="D68" s="22" t="inlineStr">
        <is>
          <t>Renault Duster 1.6</t>
        </is>
      </c>
      <c r="E68" s="23" t="n">
        <v>44674</v>
      </c>
      <c r="F68" s="23" t="n">
        <v>44324</v>
      </c>
      <c r="G68" s="23" t="n">
        <v>350</v>
      </c>
      <c r="H68" s="9" t="n">
        <v>41.15</v>
      </c>
      <c r="I68" s="9" t="n">
        <v>8.51</v>
      </c>
      <c r="J68" s="10" t="n">
        <v>6.12</v>
      </c>
      <c r="K68" s="10" t="n">
        <v>251.84</v>
      </c>
      <c r="L68" s="10" t="n">
        <v>0.72</v>
      </c>
      <c r="M68" s="5" t="inlineStr">
        <is>
          <t>Gasolina Comum</t>
        </is>
      </c>
      <c r="N68" s="22" t="inlineStr">
        <is>
          <t>Posto Petrobras Centro Bagé</t>
        </is>
      </c>
      <c r="O68" s="5" t="inlineStr">
        <is>
          <t>Bagé</t>
        </is>
      </c>
      <c r="P68" s="22" t="inlineStr">
        <is>
          <t>Sd PM Souza</t>
        </is>
      </c>
      <c r="Q68" s="22" t="inlineStr"/>
    </row>
    <row r="69">
      <c r="A69" s="11" t="inlineStr">
        <is>
          <t>2026-09-06 13:55</t>
        </is>
      </c>
      <c r="B69" s="11" t="inlineStr">
        <is>
          <t>BM-14200</t>
        </is>
      </c>
      <c r="C69" s="11" t="inlineStr">
        <is>
          <t>JCY4B11</t>
        </is>
      </c>
      <c r="D69" s="24" t="inlineStr">
        <is>
          <t>46º BPM</t>
        </is>
      </c>
      <c r="E69" s="25" t="n">
        <v>32890</v>
      </c>
      <c r="F69" s="25" t="n">
        <v>32511</v>
      </c>
      <c r="G69" s="25" t="n">
        <v>379</v>
      </c>
      <c r="H69" s="15" t="n">
        <v>35.12</v>
      </c>
      <c r="I69" s="15" t="n">
        <v>10.79</v>
      </c>
      <c r="J69" s="16" t="n">
        <v>6.35</v>
      </c>
      <c r="K69" s="16" t="n">
        <v>223.01</v>
      </c>
      <c r="L69" s="16" t="n">
        <v>0.59</v>
      </c>
      <c r="M69" s="11" t="inlineStr">
        <is>
          <t>Gasolina Aditivada</t>
        </is>
      </c>
      <c r="N69" s="24" t="inlineStr">
        <is>
          <t>Posto Petrobras Centro Bagé</t>
        </is>
      </c>
      <c r="O69" s="11" t="inlineStr">
        <is>
          <t>Bagé</t>
        </is>
      </c>
      <c r="P69" s="24" t="inlineStr">
        <is>
          <t>Sd PM Rodrigues</t>
        </is>
      </c>
      <c r="Q69" s="24" t="inlineStr"/>
    </row>
    <row r="70">
      <c r="A70" s="5" t="inlineStr">
        <is>
          <t>2026-09-06 13:55</t>
        </is>
      </c>
      <c r="B70" s="5" t="inlineStr">
        <is>
          <t>BM-15012</t>
        </is>
      </c>
      <c r="C70" s="5" t="inlineStr">
        <is>
          <t>JZZ7C40</t>
        </is>
      </c>
      <c r="D70" s="22" t="inlineStr">
        <is>
          <t>Chevrolet Spin 1.8</t>
        </is>
      </c>
      <c r="E70" s="23" t="n">
        <v>96106</v>
      </c>
      <c r="F70" s="23" t="n">
        <v>95774</v>
      </c>
      <c r="G70" s="23" t="n">
        <v>332</v>
      </c>
      <c r="H70" s="9" t="n">
        <v>38.82</v>
      </c>
      <c r="I70" s="9" t="n">
        <v>8.550000000000001</v>
      </c>
      <c r="J70" s="10" t="n">
        <v>6.3</v>
      </c>
      <c r="K70" s="10" t="n">
        <v>244.57</v>
      </c>
      <c r="L70" s="10" t="n">
        <v>0.74</v>
      </c>
      <c r="M70" s="5" t="inlineStr">
        <is>
          <t>Gasolina Comum</t>
        </is>
      </c>
      <c r="N70" s="22" t="inlineStr">
        <is>
          <t>Posto da Guarnição Militar Bagé</t>
        </is>
      </c>
      <c r="O70" s="5" t="inlineStr">
        <is>
          <t>Bagé</t>
        </is>
      </c>
      <c r="P70" s="22" t="inlineStr">
        <is>
          <t>Sd PM Pereira</t>
        </is>
      </c>
      <c r="Q70" s="22" t="inlineStr"/>
    </row>
    <row r="71">
      <c r="A71" s="11" t="inlineStr">
        <is>
          <t>2026-09-06 13:55</t>
        </is>
      </c>
      <c r="B71" s="11" t="inlineStr">
        <is>
          <t>BM-14205</t>
        </is>
      </c>
      <c r="C71" s="11" t="inlineStr">
        <is>
          <t>JCY4B15</t>
        </is>
      </c>
      <c r="D71" s="24" t="inlineStr">
        <is>
          <t>Toyota Corolla 2.0</t>
        </is>
      </c>
      <c r="E71" s="25" t="n">
        <v>38226</v>
      </c>
      <c r="F71" s="25" t="n">
        <v>37814</v>
      </c>
      <c r="G71" s="25" t="n">
        <v>412</v>
      </c>
      <c r="H71" s="15" t="n">
        <v>42.65</v>
      </c>
      <c r="I71" s="15" t="n">
        <v>9.66</v>
      </c>
      <c r="J71" s="16" t="n">
        <v>6.31</v>
      </c>
      <c r="K71" s="16" t="n">
        <v>269.12</v>
      </c>
      <c r="L71" s="16" t="n">
        <v>0.65</v>
      </c>
      <c r="M71" s="11" t="inlineStr">
        <is>
          <t>Gasolina Comum</t>
        </is>
      </c>
      <c r="N71" s="24" t="inlineStr">
        <is>
          <t>Auto Posto Shell Santa Tecla (Bagé)</t>
        </is>
      </c>
      <c r="O71" s="11" t="inlineStr">
        <is>
          <t>Bagé</t>
        </is>
      </c>
      <c r="P71" s="24" t="inlineStr">
        <is>
          <t>Sd PM Souza</t>
        </is>
      </c>
      <c r="Q71" s="24" t="inlineStr"/>
    </row>
    <row r="72">
      <c r="A72" s="5" t="inlineStr">
        <is>
          <t>2026-09-06 13:55</t>
        </is>
      </c>
      <c r="B72" s="5" t="inlineStr">
        <is>
          <t>BM-14200</t>
        </is>
      </c>
      <c r="C72" s="5" t="inlineStr">
        <is>
          <t>JCY4B11</t>
        </is>
      </c>
      <c r="D72" s="22" t="inlineStr">
        <is>
          <t>Toyota Corolla 2.0</t>
        </is>
      </c>
      <c r="E72" s="23" t="n">
        <v>32890</v>
      </c>
      <c r="F72" s="23" t="n">
        <v>32511</v>
      </c>
      <c r="G72" s="23" t="n">
        <v>379</v>
      </c>
      <c r="H72" s="9" t="n">
        <v>35.12</v>
      </c>
      <c r="I72" s="9" t="n">
        <v>10.79</v>
      </c>
      <c r="J72" s="10" t="n">
        <v>6.35</v>
      </c>
      <c r="K72" s="10" t="n">
        <v>223.01</v>
      </c>
      <c r="L72" s="10" t="n">
        <v>0.59</v>
      </c>
      <c r="M72" s="5" t="inlineStr">
        <is>
          <t>Gasolina Aditivada</t>
        </is>
      </c>
      <c r="N72" s="22" t="inlineStr">
        <is>
          <t>Posto Petrobras Centro Bagé</t>
        </is>
      </c>
      <c r="O72" s="5" t="inlineStr">
        <is>
          <t>Bagé</t>
        </is>
      </c>
      <c r="P72" s="22" t="inlineStr">
        <is>
          <t>Sd PM Rodrigues</t>
        </is>
      </c>
      <c r="Q72" s="22" t="inlineStr"/>
    </row>
    <row r="73">
      <c r="A73" s="11" t="inlineStr">
        <is>
          <t>2026-09-06 13:55</t>
        </is>
      </c>
      <c r="B73" s="11" t="inlineStr">
        <is>
          <t>BM-13105</t>
        </is>
      </c>
      <c r="C73" s="11" t="inlineStr">
        <is>
          <t>JBG9A90</t>
        </is>
      </c>
      <c r="D73" s="24" t="inlineStr">
        <is>
          <t>Toyota Hilux 4x4</t>
        </is>
      </c>
      <c r="E73" s="25" t="n">
        <v>82392</v>
      </c>
      <c r="F73" s="25" t="n">
        <v>82033</v>
      </c>
      <c r="G73" s="25" t="n">
        <v>359</v>
      </c>
      <c r="H73" s="15" t="n">
        <v>41.88</v>
      </c>
      <c r="I73" s="15" t="n">
        <v>8.57</v>
      </c>
      <c r="J73" s="16" t="n">
        <v>6.22</v>
      </c>
      <c r="K73" s="16" t="n">
        <v>260.49</v>
      </c>
      <c r="L73" s="16" t="n">
        <v>0.73</v>
      </c>
      <c r="M73" s="11" t="inlineStr">
        <is>
          <t>Diesel S10</t>
        </is>
      </c>
      <c r="N73" s="24" t="inlineStr">
        <is>
          <t>Posto da Guarnição Militar Bagé</t>
        </is>
      </c>
      <c r="O73" s="11" t="inlineStr">
        <is>
          <t>Bagé</t>
        </is>
      </c>
      <c r="P73" s="24" t="inlineStr">
        <is>
          <t>Sd PM Souza</t>
        </is>
      </c>
      <c r="Q73" s="24" t="inlineStr"/>
    </row>
    <row r="74">
      <c r="A74" s="5" t="inlineStr">
        <is>
          <t>2026-09-06 13:55</t>
        </is>
      </c>
      <c r="B74" s="5" t="inlineStr">
        <is>
          <t>BM-12451</t>
        </is>
      </c>
      <c r="C74" s="5" t="inlineStr">
        <is>
          <t>IXO8A15</t>
        </is>
      </c>
      <c r="D74" s="22" t="inlineStr">
        <is>
          <t>Renault Duster 1.6</t>
        </is>
      </c>
      <c r="E74" s="23" t="n">
        <v>54607</v>
      </c>
      <c r="F74" s="23" t="n">
        <v>54235</v>
      </c>
      <c r="G74" s="23" t="n">
        <v>372</v>
      </c>
      <c r="H74" s="9" t="n">
        <v>45.45</v>
      </c>
      <c r="I74" s="9" t="n">
        <v>8.18</v>
      </c>
      <c r="J74" s="10" t="n">
        <v>6.34</v>
      </c>
      <c r="K74" s="10" t="n">
        <v>288.15</v>
      </c>
      <c r="L74" s="10" t="n">
        <v>0.77</v>
      </c>
      <c r="M74" s="5" t="inlineStr">
        <is>
          <t>Gasolina Comum</t>
        </is>
      </c>
      <c r="N74" s="22" t="inlineStr">
        <is>
          <t>Auto Posto Shell Santa Tecla (Bagé)</t>
        </is>
      </c>
      <c r="O74" s="5" t="inlineStr">
        <is>
          <t>Bagé</t>
        </is>
      </c>
      <c r="P74" s="22" t="inlineStr">
        <is>
          <t>Sd PM Ferreira</t>
        </is>
      </c>
      <c r="Q74" s="22" t="inlineStr"/>
    </row>
    <row r="75">
      <c r="A75" s="11" t="inlineStr">
        <is>
          <t>2026-09-05 13:34</t>
        </is>
      </c>
      <c r="B75" s="11" t="inlineStr">
        <is>
          <t>BM-15012</t>
        </is>
      </c>
      <c r="C75" s="11" t="inlineStr">
        <is>
          <t>JZZ7C40</t>
        </is>
      </c>
      <c r="D75" s="24" t="inlineStr">
        <is>
          <t>Chevrolet Spin 1.8</t>
        </is>
      </c>
      <c r="E75" s="25" t="n">
        <v>95774</v>
      </c>
      <c r="F75" s="25" t="n">
        <v>95486</v>
      </c>
      <c r="G75" s="25" t="n">
        <v>288</v>
      </c>
      <c r="H75" s="15" t="n">
        <v>32.98</v>
      </c>
      <c r="I75" s="15" t="n">
        <v>8.73</v>
      </c>
      <c r="J75" s="16" t="n">
        <v>6.14</v>
      </c>
      <c r="K75" s="16" t="n">
        <v>202.5</v>
      </c>
      <c r="L75" s="16" t="n">
        <v>0.7</v>
      </c>
      <c r="M75" s="11" t="inlineStr">
        <is>
          <t>Gasolina Comum</t>
        </is>
      </c>
      <c r="N75" s="24" t="inlineStr">
        <is>
          <t>Posto da Guarnição Militar Bagé</t>
        </is>
      </c>
      <c r="O75" s="11" t="inlineStr">
        <is>
          <t>Bagé</t>
        </is>
      </c>
      <c r="P75" s="24" t="inlineStr">
        <is>
          <t>Sd PM Oliveira</t>
        </is>
      </c>
      <c r="Q75" s="24" t="inlineStr"/>
    </row>
    <row r="76">
      <c r="A76" s="5" t="inlineStr">
        <is>
          <t>2026-09-05 13:34</t>
        </is>
      </c>
      <c r="B76" s="5" t="inlineStr">
        <is>
          <t>BM-13105</t>
        </is>
      </c>
      <c r="C76" s="5" t="inlineStr">
        <is>
          <t>JBG9A90</t>
        </is>
      </c>
      <c r="D76" s="22" t="inlineStr">
        <is>
          <t>Toyota Hilux 4x4</t>
        </is>
      </c>
      <c r="E76" s="23" t="n">
        <v>82033</v>
      </c>
      <c r="F76" s="23" t="n">
        <v>81572</v>
      </c>
      <c r="G76" s="23" t="n">
        <v>461</v>
      </c>
      <c r="H76" s="9" t="n">
        <v>48.98</v>
      </c>
      <c r="I76" s="9" t="n">
        <v>9.41</v>
      </c>
      <c r="J76" s="10" t="n">
        <v>6.13</v>
      </c>
      <c r="K76" s="10" t="n">
        <v>300.25</v>
      </c>
      <c r="L76" s="10" t="n">
        <v>0.65</v>
      </c>
      <c r="M76" s="5" t="inlineStr">
        <is>
          <t>Diesel S10</t>
        </is>
      </c>
      <c r="N76" s="22" t="inlineStr">
        <is>
          <t>Posto Petrobras Centro Bagé</t>
        </is>
      </c>
      <c r="O76" s="5" t="inlineStr">
        <is>
          <t>Bagé</t>
        </is>
      </c>
      <c r="P76" s="22" t="inlineStr">
        <is>
          <t>Sd PM Santos</t>
        </is>
      </c>
      <c r="Q76" s="22" t="inlineStr"/>
    </row>
    <row r="77">
      <c r="A77" s="11" t="inlineStr">
        <is>
          <t>2026-09-05 13:34</t>
        </is>
      </c>
      <c r="B77" s="11" t="inlineStr">
        <is>
          <t>BM-12451</t>
        </is>
      </c>
      <c r="C77" s="11" t="inlineStr">
        <is>
          <t>IXO8A15</t>
        </is>
      </c>
      <c r="D77" s="24" t="inlineStr">
        <is>
          <t>Renault Duster 1.6</t>
        </is>
      </c>
      <c r="E77" s="25" t="n">
        <v>54235</v>
      </c>
      <c r="F77" s="25" t="n">
        <v>53938</v>
      </c>
      <c r="G77" s="25" t="n">
        <v>297</v>
      </c>
      <c r="H77" s="15" t="n">
        <v>35.97</v>
      </c>
      <c r="I77" s="15" t="n">
        <v>8.26</v>
      </c>
      <c r="J77" s="16" t="n">
        <v>6.1</v>
      </c>
      <c r="K77" s="16" t="n">
        <v>219.42</v>
      </c>
      <c r="L77" s="16" t="n">
        <v>0.74</v>
      </c>
      <c r="M77" s="11" t="inlineStr">
        <is>
          <t>Gasolina Comum</t>
        </is>
      </c>
      <c r="N77" s="24" t="inlineStr">
        <is>
          <t>Auto Posto Shell Santa Tecla (Bagé)</t>
        </is>
      </c>
      <c r="O77" s="11" t="inlineStr">
        <is>
          <t>Bagé</t>
        </is>
      </c>
      <c r="P77" s="24" t="inlineStr">
        <is>
          <t>Sd PM Silva</t>
        </is>
      </c>
      <c r="Q77" s="24" t="inlineStr"/>
    </row>
    <row r="78">
      <c r="A78" s="5" t="inlineStr">
        <is>
          <t>2026-09-04 07:07</t>
        </is>
      </c>
      <c r="B78" s="5" t="inlineStr">
        <is>
          <t>BM-12450</t>
        </is>
      </c>
      <c r="C78" s="5" t="inlineStr">
        <is>
          <t>IXO8A12</t>
        </is>
      </c>
      <c r="D78" s="22" t="inlineStr">
        <is>
          <t>46º BPM</t>
        </is>
      </c>
      <c r="E78" s="23" t="n">
        <v>44324</v>
      </c>
      <c r="F78" s="23" t="n">
        <v>43994</v>
      </c>
      <c r="G78" s="23" t="n">
        <v>330</v>
      </c>
      <c r="H78" s="9" t="n">
        <v>40.53</v>
      </c>
      <c r="I78" s="9" t="n">
        <v>8.140000000000001</v>
      </c>
      <c r="J78" s="10" t="n">
        <v>6.24</v>
      </c>
      <c r="K78" s="10" t="n">
        <v>252.91</v>
      </c>
      <c r="L78" s="10" t="n">
        <v>0.77</v>
      </c>
      <c r="M78" s="5" t="inlineStr">
        <is>
          <t>Gasolina Comum</t>
        </is>
      </c>
      <c r="N78" s="22" t="inlineStr">
        <is>
          <t>Posto Ipiranga Tiaraju (Bagé)</t>
        </is>
      </c>
      <c r="O78" s="5" t="inlineStr">
        <is>
          <t>Bagé</t>
        </is>
      </c>
      <c r="P78" s="22" t="inlineStr">
        <is>
          <t>Sd PM Souza</t>
        </is>
      </c>
      <c r="Q78" s="22" t="inlineStr"/>
    </row>
    <row r="79">
      <c r="A79" s="11" t="inlineStr">
        <is>
          <t>2026-09-04 07:07</t>
        </is>
      </c>
      <c r="B79" s="11" t="inlineStr">
        <is>
          <t>BM-15010</t>
        </is>
      </c>
      <c r="C79" s="11" t="inlineStr">
        <is>
          <t>JZZ7C34</t>
        </is>
      </c>
      <c r="D79" s="24" t="inlineStr">
        <is>
          <t>Chevrolet Spin 1.8</t>
        </is>
      </c>
      <c r="E79" s="25" t="n">
        <v>89311</v>
      </c>
      <c r="F79" s="25" t="n">
        <v>88922</v>
      </c>
      <c r="G79" s="25" t="n">
        <v>389</v>
      </c>
      <c r="H79" s="15" t="n">
        <v>47</v>
      </c>
      <c r="I79" s="15" t="n">
        <v>8.279999999999999</v>
      </c>
      <c r="J79" s="16" t="n">
        <v>6.18</v>
      </c>
      <c r="K79" s="16" t="n">
        <v>290.46</v>
      </c>
      <c r="L79" s="16" t="n">
        <v>0.75</v>
      </c>
      <c r="M79" s="11" t="inlineStr">
        <is>
          <t>Gasolina Comum</t>
        </is>
      </c>
      <c r="N79" s="24" t="inlineStr">
        <is>
          <t>Posto Ipiranga Tiaraju (Bagé)</t>
        </is>
      </c>
      <c r="O79" s="11" t="inlineStr">
        <is>
          <t>Bagé</t>
        </is>
      </c>
      <c r="P79" s="24" t="inlineStr">
        <is>
          <t>Sd PM Santos</t>
        </is>
      </c>
      <c r="Q79" s="24" t="inlineStr"/>
    </row>
    <row r="80">
      <c r="A80" s="5" t="inlineStr">
        <is>
          <t>2026-09-04 07:07</t>
        </is>
      </c>
      <c r="B80" s="5" t="inlineStr">
        <is>
          <t>BM-14205</t>
        </is>
      </c>
      <c r="C80" s="5" t="inlineStr">
        <is>
          <t>JCY4B15</t>
        </is>
      </c>
      <c r="D80" s="22" t="inlineStr">
        <is>
          <t>Toyota Corolla 2.0</t>
        </is>
      </c>
      <c r="E80" s="23" t="n">
        <v>37814</v>
      </c>
      <c r="F80" s="23" t="n">
        <v>37340</v>
      </c>
      <c r="G80" s="23" t="n">
        <v>474</v>
      </c>
      <c r="H80" s="9" t="n">
        <v>46.51</v>
      </c>
      <c r="I80" s="9" t="n">
        <v>10.19</v>
      </c>
      <c r="J80" s="10" t="n">
        <v>6.07</v>
      </c>
      <c r="K80" s="10" t="n">
        <v>282.32</v>
      </c>
      <c r="L80" s="10" t="n">
        <v>0.6</v>
      </c>
      <c r="M80" s="5" t="inlineStr">
        <is>
          <t>Gasolina Comum</t>
        </is>
      </c>
      <c r="N80" s="22" t="inlineStr">
        <is>
          <t>Posto Petrobras Centro Bagé</t>
        </is>
      </c>
      <c r="O80" s="5" t="inlineStr">
        <is>
          <t>Bagé</t>
        </is>
      </c>
      <c r="P80" s="22" t="inlineStr">
        <is>
          <t>Sd PM Oliveira</t>
        </is>
      </c>
      <c r="Q80" s="22" t="inlineStr"/>
    </row>
    <row r="81">
      <c r="A81" s="11" t="inlineStr">
        <is>
          <t>2026-09-04 07:07</t>
        </is>
      </c>
      <c r="B81" s="11" t="inlineStr">
        <is>
          <t>BM-13105</t>
        </is>
      </c>
      <c r="C81" s="11" t="inlineStr">
        <is>
          <t>JBG9A90</t>
        </is>
      </c>
      <c r="D81" s="24" t="inlineStr">
        <is>
          <t>Toyota Hilux 4x4</t>
        </is>
      </c>
      <c r="E81" s="25" t="n">
        <v>81572</v>
      </c>
      <c r="F81" s="25" t="n">
        <v>81097</v>
      </c>
      <c r="G81" s="25" t="n">
        <v>475</v>
      </c>
      <c r="H81" s="15" t="n">
        <v>49.9</v>
      </c>
      <c r="I81" s="15" t="n">
        <v>9.52</v>
      </c>
      <c r="J81" s="16" t="n">
        <v>6.02</v>
      </c>
      <c r="K81" s="16" t="n">
        <v>300.4</v>
      </c>
      <c r="L81" s="16" t="n">
        <v>0.63</v>
      </c>
      <c r="M81" s="11" t="inlineStr">
        <is>
          <t>Diesel S10</t>
        </is>
      </c>
      <c r="N81" s="24" t="inlineStr">
        <is>
          <t>Posto da Guarnição Militar Bagé</t>
        </is>
      </c>
      <c r="O81" s="11" t="inlineStr">
        <is>
          <t>Bagé</t>
        </is>
      </c>
      <c r="P81" s="24" t="inlineStr">
        <is>
          <t>Sd PM Pereira</t>
        </is>
      </c>
      <c r="Q81" s="24" t="inlineStr"/>
    </row>
    <row r="82">
      <c r="A82" s="5" t="inlineStr">
        <is>
          <t>2026-09-04 07:07</t>
        </is>
      </c>
      <c r="B82" s="5" t="inlineStr">
        <is>
          <t>BM-12451</t>
        </is>
      </c>
      <c r="C82" s="5" t="inlineStr">
        <is>
          <t>IXO8A15</t>
        </is>
      </c>
      <c r="D82" s="22" t="inlineStr">
        <is>
          <t>Renault Duster 1.6</t>
        </is>
      </c>
      <c r="E82" s="23" t="n">
        <v>53938</v>
      </c>
      <c r="F82" s="23" t="n">
        <v>53580</v>
      </c>
      <c r="G82" s="23" t="n">
        <v>358</v>
      </c>
      <c r="H82" s="9" t="n">
        <v>40.65</v>
      </c>
      <c r="I82" s="9" t="n">
        <v>8.81</v>
      </c>
      <c r="J82" s="10" t="n">
        <v>6.31</v>
      </c>
      <c r="K82" s="10" t="n">
        <v>256.5</v>
      </c>
      <c r="L82" s="10" t="n">
        <v>0.72</v>
      </c>
      <c r="M82" s="5" t="inlineStr">
        <is>
          <t>Gasolina Comum</t>
        </is>
      </c>
      <c r="N82" s="22" t="inlineStr">
        <is>
          <t>Posto Petrobras Centro Bagé</t>
        </is>
      </c>
      <c r="O82" s="5" t="inlineStr">
        <is>
          <t>Bagé</t>
        </is>
      </c>
      <c r="P82" s="22" t="inlineStr">
        <is>
          <t>Sd PM Pereira</t>
        </is>
      </c>
      <c r="Q82" s="22" t="inlineStr"/>
    </row>
    <row r="83">
      <c r="A83" s="11" t="inlineStr">
        <is>
          <t>2026-09-04 07:07</t>
        </is>
      </c>
      <c r="B83" s="11" t="inlineStr">
        <is>
          <t>BM-12450</t>
        </is>
      </c>
      <c r="C83" s="11" t="inlineStr">
        <is>
          <t>IXO8A12</t>
        </is>
      </c>
      <c r="D83" s="24" t="inlineStr">
        <is>
          <t>Renault Duster 1.6</t>
        </is>
      </c>
      <c r="E83" s="25" t="n">
        <v>44324</v>
      </c>
      <c r="F83" s="25" t="n">
        <v>43994</v>
      </c>
      <c r="G83" s="25" t="n">
        <v>330</v>
      </c>
      <c r="H83" s="15" t="n">
        <v>40.53</v>
      </c>
      <c r="I83" s="15" t="n">
        <v>8.140000000000001</v>
      </c>
      <c r="J83" s="16" t="n">
        <v>6.24</v>
      </c>
      <c r="K83" s="16" t="n">
        <v>252.91</v>
      </c>
      <c r="L83" s="16" t="n">
        <v>0.77</v>
      </c>
      <c r="M83" s="11" t="inlineStr">
        <is>
          <t>Gasolina Comum</t>
        </is>
      </c>
      <c r="N83" s="24" t="inlineStr">
        <is>
          <t>Posto Ipiranga Tiaraju (Bagé)</t>
        </is>
      </c>
      <c r="O83" s="11" t="inlineStr">
        <is>
          <t>Bagé</t>
        </is>
      </c>
      <c r="P83" s="24" t="inlineStr">
        <is>
          <t>Sd PM Souza</t>
        </is>
      </c>
      <c r="Q83" s="24" t="inlineStr"/>
    </row>
    <row r="84">
      <c r="A84" s="5" t="inlineStr">
        <is>
          <t>2026-09-03 02:11</t>
        </is>
      </c>
      <c r="B84" s="5" t="inlineStr">
        <is>
          <t>BM-13100</t>
        </is>
      </c>
      <c r="C84" s="5" t="inlineStr">
        <is>
          <t>JBG9A87</t>
        </is>
      </c>
      <c r="D84" s="22" t="inlineStr">
        <is>
          <t>46º BPM</t>
        </is>
      </c>
      <c r="E84" s="23" t="n">
        <v>69823</v>
      </c>
      <c r="F84" s="23" t="n">
        <v>69473</v>
      </c>
      <c r="G84" s="23" t="n">
        <v>350</v>
      </c>
      <c r="H84" s="9" t="n">
        <v>37.69</v>
      </c>
      <c r="I84" s="9" t="n">
        <v>9.289999999999999</v>
      </c>
      <c r="J84" s="10" t="n">
        <v>6.19</v>
      </c>
      <c r="K84" s="10" t="n">
        <v>233.3</v>
      </c>
      <c r="L84" s="10" t="n">
        <v>0.67</v>
      </c>
      <c r="M84" s="5" t="inlineStr">
        <is>
          <t>Diesel S10</t>
        </is>
      </c>
      <c r="N84" s="22" t="inlineStr">
        <is>
          <t>Posto Ipiranga Tiaraju (Bagé)</t>
        </is>
      </c>
      <c r="O84" s="5" t="inlineStr">
        <is>
          <t>Bagé</t>
        </is>
      </c>
      <c r="P84" s="22" t="inlineStr">
        <is>
          <t>Sd PM Santos</t>
        </is>
      </c>
      <c r="Q84" s="22" t="inlineStr"/>
    </row>
    <row r="85">
      <c r="A85" s="11" t="inlineStr">
        <is>
          <t>2026-09-03 02:11</t>
        </is>
      </c>
      <c r="B85" s="11" t="inlineStr">
        <is>
          <t>BM-13100</t>
        </is>
      </c>
      <c r="C85" s="11" t="inlineStr">
        <is>
          <t>JBG9A87</t>
        </is>
      </c>
      <c r="D85" s="24" t="inlineStr">
        <is>
          <t>Toyota Hilux 4x4</t>
        </is>
      </c>
      <c r="E85" s="25" t="n">
        <v>69823</v>
      </c>
      <c r="F85" s="25" t="n">
        <v>69473</v>
      </c>
      <c r="G85" s="25" t="n">
        <v>350</v>
      </c>
      <c r="H85" s="15" t="n">
        <v>37.69</v>
      </c>
      <c r="I85" s="15" t="n">
        <v>9.289999999999999</v>
      </c>
      <c r="J85" s="16" t="n">
        <v>6.19</v>
      </c>
      <c r="K85" s="16" t="n">
        <v>233.3</v>
      </c>
      <c r="L85" s="16" t="n">
        <v>0.67</v>
      </c>
      <c r="M85" s="11" t="inlineStr">
        <is>
          <t>Diesel S10</t>
        </is>
      </c>
      <c r="N85" s="24" t="inlineStr">
        <is>
          <t>Posto Ipiranga Tiaraju (Bagé)</t>
        </is>
      </c>
      <c r="O85" s="11" t="inlineStr">
        <is>
          <t>Bagé</t>
        </is>
      </c>
      <c r="P85" s="24" t="inlineStr">
        <is>
          <t>Sd PM Santos</t>
        </is>
      </c>
      <c r="Q85" s="24" t="inlineStr"/>
    </row>
    <row r="86">
      <c r="A86" s="5" t="inlineStr">
        <is>
          <t>2026-09-02 12:44</t>
        </is>
      </c>
      <c r="B86" s="5" t="inlineStr">
        <is>
          <t>BM-13105</t>
        </is>
      </c>
      <c r="C86" s="5" t="inlineStr">
        <is>
          <t>JBG9A90</t>
        </is>
      </c>
      <c r="D86" s="22" t="inlineStr">
        <is>
          <t>Toyota Hilux 4x4</t>
        </is>
      </c>
      <c r="E86" s="23" t="n">
        <v>81097</v>
      </c>
      <c r="F86" s="23" t="n">
        <v>80611</v>
      </c>
      <c r="G86" s="23" t="n">
        <v>486</v>
      </c>
      <c r="H86" s="9" t="n">
        <v>50.98</v>
      </c>
      <c r="I86" s="9" t="n">
        <v>9.529999999999999</v>
      </c>
      <c r="J86" s="10" t="n">
        <v>6.22</v>
      </c>
      <c r="K86" s="10" t="n">
        <v>317.1</v>
      </c>
      <c r="L86" s="10" t="n">
        <v>0.65</v>
      </c>
      <c r="M86" s="5" t="inlineStr">
        <is>
          <t>Diesel S10</t>
        </is>
      </c>
      <c r="N86" s="22" t="inlineStr">
        <is>
          <t>Posto Petrobras Centro Bagé</t>
        </is>
      </c>
      <c r="O86" s="5" t="inlineStr">
        <is>
          <t>Bagé</t>
        </is>
      </c>
      <c r="P86" s="22" t="inlineStr">
        <is>
          <t>Sd PM Santos</t>
        </is>
      </c>
      <c r="Q86" s="22" t="inlineStr"/>
    </row>
    <row r="87">
      <c r="A87" s="11" t="inlineStr">
        <is>
          <t>2026-09-02 12:44</t>
        </is>
      </c>
      <c r="B87" s="11" t="inlineStr">
        <is>
          <t>BM-12451</t>
        </is>
      </c>
      <c r="C87" s="11" t="inlineStr">
        <is>
          <t>IXO8A15</t>
        </is>
      </c>
      <c r="D87" s="24" t="inlineStr">
        <is>
          <t>Renault Duster 1.6</t>
        </is>
      </c>
      <c r="E87" s="25" t="n">
        <v>53580</v>
      </c>
      <c r="F87" s="25" t="n">
        <v>53202</v>
      </c>
      <c r="G87" s="25" t="n">
        <v>378</v>
      </c>
      <c r="H87" s="15" t="n">
        <v>44.75</v>
      </c>
      <c r="I87" s="15" t="n">
        <v>8.449999999999999</v>
      </c>
      <c r="J87" s="16" t="n">
        <v>6.07</v>
      </c>
      <c r="K87" s="16" t="n">
        <v>271.63</v>
      </c>
      <c r="L87" s="16" t="n">
        <v>0.72</v>
      </c>
      <c r="M87" s="11" t="inlineStr">
        <is>
          <t>Gasolina Comum</t>
        </is>
      </c>
      <c r="N87" s="24" t="inlineStr">
        <is>
          <t>Auto Posto Shell Santa Tecla (Bagé)</t>
        </is>
      </c>
      <c r="O87" s="11" t="inlineStr">
        <is>
          <t>Bagé</t>
        </is>
      </c>
      <c r="P87" s="24" t="inlineStr">
        <is>
          <t>Sd PM Ferreira</t>
        </is>
      </c>
      <c r="Q87" s="24" t="inlineStr"/>
    </row>
    <row r="88">
      <c r="A88" s="5" t="inlineStr">
        <is>
          <t>2026-09-01 08:53</t>
        </is>
      </c>
      <c r="B88" s="5" t="inlineStr">
        <is>
          <t>BM-14200</t>
        </is>
      </c>
      <c r="C88" s="5" t="inlineStr">
        <is>
          <t>JCY4B11</t>
        </is>
      </c>
      <c r="D88" s="22" t="inlineStr">
        <is>
          <t>46º BPM</t>
        </is>
      </c>
      <c r="E88" s="23" t="n">
        <v>32511</v>
      </c>
      <c r="F88" s="23" t="n">
        <v>32017</v>
      </c>
      <c r="G88" s="23" t="n">
        <v>494</v>
      </c>
      <c r="H88" s="9" t="n">
        <v>49.91</v>
      </c>
      <c r="I88" s="9" t="n">
        <v>9.9</v>
      </c>
      <c r="J88" s="10" t="n">
        <v>6.41</v>
      </c>
      <c r="K88" s="10" t="n">
        <v>319.92</v>
      </c>
      <c r="L88" s="10" t="n">
        <v>0.65</v>
      </c>
      <c r="M88" s="5" t="inlineStr">
        <is>
          <t>Gasolina Aditivada</t>
        </is>
      </c>
      <c r="N88" s="22" t="inlineStr">
        <is>
          <t>Auto Posto Shell Santa Tecla (Bagé)</t>
        </is>
      </c>
      <c r="O88" s="5" t="inlineStr">
        <is>
          <t>Bagé</t>
        </is>
      </c>
      <c r="P88" s="22" t="inlineStr">
        <is>
          <t>Sd PM Souza</t>
        </is>
      </c>
      <c r="Q88" s="22" t="inlineStr"/>
    </row>
    <row r="89">
      <c r="A89" s="11" t="inlineStr">
        <is>
          <t>2026-09-01 08:53</t>
        </is>
      </c>
      <c r="B89" s="11" t="inlineStr">
        <is>
          <t>BM-15012</t>
        </is>
      </c>
      <c r="C89" s="11" t="inlineStr">
        <is>
          <t>JZZ7C40</t>
        </is>
      </c>
      <c r="D89" s="24" t="inlineStr">
        <is>
          <t>Chevrolet Spin 1.8</t>
        </is>
      </c>
      <c r="E89" s="25" t="n">
        <v>95486</v>
      </c>
      <c r="F89" s="25" t="n">
        <v>95136</v>
      </c>
      <c r="G89" s="25" t="n">
        <v>350</v>
      </c>
      <c r="H89" s="15" t="n">
        <v>39.3</v>
      </c>
      <c r="I89" s="15" t="n">
        <v>8.91</v>
      </c>
      <c r="J89" s="16" t="n">
        <v>6.28</v>
      </c>
      <c r="K89" s="16" t="n">
        <v>246.8</v>
      </c>
      <c r="L89" s="16" t="n">
        <v>0.71</v>
      </c>
      <c r="M89" s="11" t="inlineStr">
        <is>
          <t>Gasolina Comum</t>
        </is>
      </c>
      <c r="N89" s="24" t="inlineStr">
        <is>
          <t>Posto Petrobras Centro Bagé</t>
        </is>
      </c>
      <c r="O89" s="11" t="inlineStr">
        <is>
          <t>Bagé</t>
        </is>
      </c>
      <c r="P89" s="24" t="inlineStr">
        <is>
          <t>Sd PM Santos</t>
        </is>
      </c>
      <c r="Q89" s="24" t="inlineStr"/>
    </row>
    <row r="90">
      <c r="A90" s="5" t="inlineStr">
        <is>
          <t>2026-09-01 08:53</t>
        </is>
      </c>
      <c r="B90" s="5" t="inlineStr">
        <is>
          <t>BM-14205</t>
        </is>
      </c>
      <c r="C90" s="5" t="inlineStr">
        <is>
          <t>JCY4B15</t>
        </is>
      </c>
      <c r="D90" s="22" t="inlineStr">
        <is>
          <t>Toyota Corolla 2.0</t>
        </is>
      </c>
      <c r="E90" s="23" t="n">
        <v>37340</v>
      </c>
      <c r="F90" s="23" t="n">
        <v>36984</v>
      </c>
      <c r="G90" s="23" t="n">
        <v>356</v>
      </c>
      <c r="H90" s="9" t="n">
        <v>35.73</v>
      </c>
      <c r="I90" s="9" t="n">
        <v>9.960000000000001</v>
      </c>
      <c r="J90" s="10" t="n">
        <v>6.04</v>
      </c>
      <c r="K90" s="10" t="n">
        <v>215.81</v>
      </c>
      <c r="L90" s="10" t="n">
        <v>0.61</v>
      </c>
      <c r="M90" s="5" t="inlineStr">
        <is>
          <t>Gasolina Comum</t>
        </is>
      </c>
      <c r="N90" s="22" t="inlineStr">
        <is>
          <t>Posto Petrobras Centro Bagé</t>
        </is>
      </c>
      <c r="O90" s="5" t="inlineStr">
        <is>
          <t>Bagé</t>
        </is>
      </c>
      <c r="P90" s="22" t="inlineStr">
        <is>
          <t>Sd PM Pereira</t>
        </is>
      </c>
      <c r="Q90" s="22" t="inlineStr"/>
    </row>
    <row r="91">
      <c r="A91" s="11" t="inlineStr">
        <is>
          <t>2026-09-01 08:53</t>
        </is>
      </c>
      <c r="B91" s="11" t="inlineStr">
        <is>
          <t>BM-14200</t>
        </is>
      </c>
      <c r="C91" s="11" t="inlineStr">
        <is>
          <t>JCY4B11</t>
        </is>
      </c>
      <c r="D91" s="24" t="inlineStr">
        <is>
          <t>Toyota Corolla 2.0</t>
        </is>
      </c>
      <c r="E91" s="25" t="n">
        <v>32511</v>
      </c>
      <c r="F91" s="25" t="n">
        <v>32017</v>
      </c>
      <c r="G91" s="25" t="n">
        <v>494</v>
      </c>
      <c r="H91" s="15" t="n">
        <v>49.91</v>
      </c>
      <c r="I91" s="15" t="n">
        <v>9.9</v>
      </c>
      <c r="J91" s="16" t="n">
        <v>6.41</v>
      </c>
      <c r="K91" s="16" t="n">
        <v>319.92</v>
      </c>
      <c r="L91" s="16" t="n">
        <v>0.65</v>
      </c>
      <c r="M91" s="11" t="inlineStr">
        <is>
          <t>Gasolina Aditivada</t>
        </is>
      </c>
      <c r="N91" s="24" t="inlineStr">
        <is>
          <t>Auto Posto Shell Santa Tecla (Bagé)</t>
        </is>
      </c>
      <c r="O91" s="11" t="inlineStr">
        <is>
          <t>Bagé</t>
        </is>
      </c>
      <c r="P91" s="24" t="inlineStr">
        <is>
          <t>Sd PM Souza</t>
        </is>
      </c>
      <c r="Q91" s="24" t="inlineStr"/>
    </row>
    <row r="92">
      <c r="A92" s="5" t="inlineStr">
        <is>
          <t>2026-09-01 08:53</t>
        </is>
      </c>
      <c r="B92" s="5" t="inlineStr">
        <is>
          <t>BM-13105</t>
        </is>
      </c>
      <c r="C92" s="5" t="inlineStr">
        <is>
          <t>JBG9A90</t>
        </is>
      </c>
      <c r="D92" s="22" t="inlineStr">
        <is>
          <t>Toyota Hilux 4x4</t>
        </is>
      </c>
      <c r="E92" s="23" t="n">
        <v>80611</v>
      </c>
      <c r="F92" s="23" t="n">
        <v>80253</v>
      </c>
      <c r="G92" s="23" t="n">
        <v>358</v>
      </c>
      <c r="H92" s="9" t="n">
        <v>41.55</v>
      </c>
      <c r="I92" s="9" t="n">
        <v>8.619999999999999</v>
      </c>
      <c r="J92" s="10" t="n">
        <v>6.01</v>
      </c>
      <c r="K92" s="10" t="n">
        <v>249.72</v>
      </c>
      <c r="L92" s="10" t="n">
        <v>0.7</v>
      </c>
      <c r="M92" s="5" t="inlineStr">
        <is>
          <t>Diesel S10</t>
        </is>
      </c>
      <c r="N92" s="22" t="inlineStr">
        <is>
          <t>Posto da Guarnição Militar Bagé</t>
        </is>
      </c>
      <c r="O92" s="5" t="inlineStr">
        <is>
          <t>Bagé</t>
        </is>
      </c>
      <c r="P92" s="22" t="inlineStr">
        <is>
          <t>Sd PM Silva</t>
        </is>
      </c>
      <c r="Q92" s="22" t="inlineStr"/>
    </row>
    <row r="93">
      <c r="A93" s="11" t="inlineStr">
        <is>
          <t>2026-08-31 06:38</t>
        </is>
      </c>
      <c r="B93" s="11" t="inlineStr">
        <is>
          <t>BM-13100</t>
        </is>
      </c>
      <c r="C93" s="11" t="inlineStr">
        <is>
          <t>JBG9A87</t>
        </is>
      </c>
      <c r="D93" s="24" t="inlineStr">
        <is>
          <t>46º BPM</t>
        </is>
      </c>
      <c r="E93" s="25" t="n">
        <v>69473</v>
      </c>
      <c r="F93" s="25" t="n">
        <v>69130</v>
      </c>
      <c r="G93" s="25" t="n">
        <v>343</v>
      </c>
      <c r="H93" s="15" t="n">
        <v>38.19</v>
      </c>
      <c r="I93" s="15" t="n">
        <v>8.98</v>
      </c>
      <c r="J93" s="16" t="n">
        <v>6</v>
      </c>
      <c r="K93" s="16" t="n">
        <v>229.14</v>
      </c>
      <c r="L93" s="16" t="n">
        <v>0.67</v>
      </c>
      <c r="M93" s="11" t="inlineStr">
        <is>
          <t>Diesel S10</t>
        </is>
      </c>
      <c r="N93" s="24" t="inlineStr">
        <is>
          <t>Posto Petrobras Centro Bagé</t>
        </is>
      </c>
      <c r="O93" s="11" t="inlineStr">
        <is>
          <t>Bagé</t>
        </is>
      </c>
      <c r="P93" s="24" t="inlineStr">
        <is>
          <t>Sd PM Rodrigues</t>
        </is>
      </c>
      <c r="Q93" s="24" t="inlineStr"/>
    </row>
    <row r="94">
      <c r="A94" s="5" t="inlineStr">
        <is>
          <t>2026-08-31 06:38</t>
        </is>
      </c>
      <c r="B94" s="5" t="inlineStr">
        <is>
          <t>BM-12450</t>
        </is>
      </c>
      <c r="C94" s="5" t="inlineStr">
        <is>
          <t>IXO8A12</t>
        </is>
      </c>
      <c r="D94" s="22" t="inlineStr">
        <is>
          <t>46º BPM</t>
        </is>
      </c>
      <c r="E94" s="23" t="n">
        <v>43994</v>
      </c>
      <c r="F94" s="23" t="n">
        <v>43620</v>
      </c>
      <c r="G94" s="23" t="n">
        <v>374</v>
      </c>
      <c r="H94" s="9" t="n">
        <v>44.67</v>
      </c>
      <c r="I94" s="9" t="n">
        <v>8.369999999999999</v>
      </c>
      <c r="J94" s="10" t="n">
        <v>6.33</v>
      </c>
      <c r="K94" s="10" t="n">
        <v>282.76</v>
      </c>
      <c r="L94" s="10" t="n">
        <v>0.76</v>
      </c>
      <c r="M94" s="5" t="inlineStr">
        <is>
          <t>Gasolina Comum</t>
        </is>
      </c>
      <c r="N94" s="22" t="inlineStr">
        <is>
          <t>Auto Posto Shell Santa Tecla (Bagé)</t>
        </is>
      </c>
      <c r="O94" s="5" t="inlineStr">
        <is>
          <t>Bagé</t>
        </is>
      </c>
      <c r="P94" s="22" t="inlineStr">
        <is>
          <t>Sd PM Santos</t>
        </is>
      </c>
      <c r="Q94" s="22" t="inlineStr"/>
    </row>
    <row r="95">
      <c r="A95" s="11" t="inlineStr">
        <is>
          <t>2026-08-31 06:38</t>
        </is>
      </c>
      <c r="B95" s="11" t="inlineStr">
        <is>
          <t>BM-15012</t>
        </is>
      </c>
      <c r="C95" s="11" t="inlineStr">
        <is>
          <t>JZZ7C40</t>
        </is>
      </c>
      <c r="D95" s="24" t="inlineStr">
        <is>
          <t>Chevrolet Spin 1.8</t>
        </is>
      </c>
      <c r="E95" s="25" t="n">
        <v>95136</v>
      </c>
      <c r="F95" s="25" t="n">
        <v>94679</v>
      </c>
      <c r="G95" s="25" t="n">
        <v>457</v>
      </c>
      <c r="H95" s="15" t="n">
        <v>49.58</v>
      </c>
      <c r="I95" s="15" t="n">
        <v>9.220000000000001</v>
      </c>
      <c r="J95" s="16" t="n">
        <v>6.24</v>
      </c>
      <c r="K95" s="16" t="n">
        <v>309.38</v>
      </c>
      <c r="L95" s="16" t="n">
        <v>0.68</v>
      </c>
      <c r="M95" s="11" t="inlineStr">
        <is>
          <t>Gasolina Comum</t>
        </is>
      </c>
      <c r="N95" s="24" t="inlineStr">
        <is>
          <t>Posto Petrobras Centro Bagé</t>
        </is>
      </c>
      <c r="O95" s="11" t="inlineStr">
        <is>
          <t>Bagé</t>
        </is>
      </c>
      <c r="P95" s="24" t="inlineStr">
        <is>
          <t>Sd PM Santos</t>
        </is>
      </c>
      <c r="Q95" s="24" t="inlineStr"/>
    </row>
    <row r="96">
      <c r="A96" s="5" t="inlineStr">
        <is>
          <t>2026-08-31 06:38</t>
        </is>
      </c>
      <c r="B96" s="5" t="inlineStr">
        <is>
          <t>BM-14205</t>
        </is>
      </c>
      <c r="C96" s="5" t="inlineStr">
        <is>
          <t>JCY4B15</t>
        </is>
      </c>
      <c r="D96" s="22" t="inlineStr">
        <is>
          <t>Toyota Corolla 2.0</t>
        </is>
      </c>
      <c r="E96" s="23" t="n">
        <v>36984</v>
      </c>
      <c r="F96" s="23" t="n">
        <v>36637</v>
      </c>
      <c r="G96" s="23" t="n">
        <v>347</v>
      </c>
      <c r="H96" s="9" t="n">
        <v>35.58</v>
      </c>
      <c r="I96" s="9" t="n">
        <v>9.75</v>
      </c>
      <c r="J96" s="10" t="n">
        <v>6.27</v>
      </c>
      <c r="K96" s="10" t="n">
        <v>223.09</v>
      </c>
      <c r="L96" s="10" t="n">
        <v>0.64</v>
      </c>
      <c r="M96" s="5" t="inlineStr">
        <is>
          <t>Gasolina Comum</t>
        </is>
      </c>
      <c r="N96" s="22" t="inlineStr">
        <is>
          <t>Posto Petrobras Centro Bagé</t>
        </is>
      </c>
      <c r="O96" s="5" t="inlineStr">
        <is>
          <t>Bagé</t>
        </is>
      </c>
      <c r="P96" s="22" t="inlineStr">
        <is>
          <t>Sd PM Ferreira</t>
        </is>
      </c>
      <c r="Q96" s="22" t="inlineStr"/>
    </row>
    <row r="97">
      <c r="A97" s="11" t="inlineStr">
        <is>
          <t>2026-08-31 06:38</t>
        </is>
      </c>
      <c r="B97" s="11" t="inlineStr">
        <is>
          <t>BM-13100</t>
        </is>
      </c>
      <c r="C97" s="11" t="inlineStr">
        <is>
          <t>JBG9A87</t>
        </is>
      </c>
      <c r="D97" s="24" t="inlineStr">
        <is>
          <t>Toyota Hilux 4x4</t>
        </is>
      </c>
      <c r="E97" s="25" t="n">
        <v>69473</v>
      </c>
      <c r="F97" s="25" t="n">
        <v>69130</v>
      </c>
      <c r="G97" s="25" t="n">
        <v>343</v>
      </c>
      <c r="H97" s="15" t="n">
        <v>38.19</v>
      </c>
      <c r="I97" s="15" t="n">
        <v>8.98</v>
      </c>
      <c r="J97" s="16" t="n">
        <v>6</v>
      </c>
      <c r="K97" s="16" t="n">
        <v>229.14</v>
      </c>
      <c r="L97" s="16" t="n">
        <v>0.67</v>
      </c>
      <c r="M97" s="11" t="inlineStr">
        <is>
          <t>Diesel S10</t>
        </is>
      </c>
      <c r="N97" s="24" t="inlineStr">
        <is>
          <t>Posto Petrobras Centro Bagé</t>
        </is>
      </c>
      <c r="O97" s="11" t="inlineStr">
        <is>
          <t>Bagé</t>
        </is>
      </c>
      <c r="P97" s="24" t="inlineStr">
        <is>
          <t>Sd PM Rodrigues</t>
        </is>
      </c>
      <c r="Q97" s="24" t="inlineStr"/>
    </row>
    <row r="98">
      <c r="A98" s="5" t="inlineStr">
        <is>
          <t>2026-08-31 06:38</t>
        </is>
      </c>
      <c r="B98" s="5" t="inlineStr">
        <is>
          <t>BM-12450</t>
        </is>
      </c>
      <c r="C98" s="5" t="inlineStr">
        <is>
          <t>IXO8A12</t>
        </is>
      </c>
      <c r="D98" s="22" t="inlineStr">
        <is>
          <t>Renault Duster 1.6</t>
        </is>
      </c>
      <c r="E98" s="23" t="n">
        <v>43994</v>
      </c>
      <c r="F98" s="23" t="n">
        <v>43620</v>
      </c>
      <c r="G98" s="23" t="n">
        <v>374</v>
      </c>
      <c r="H98" s="9" t="n">
        <v>44.67</v>
      </c>
      <c r="I98" s="9" t="n">
        <v>8.369999999999999</v>
      </c>
      <c r="J98" s="10" t="n">
        <v>6.33</v>
      </c>
      <c r="K98" s="10" t="n">
        <v>282.76</v>
      </c>
      <c r="L98" s="10" t="n">
        <v>0.76</v>
      </c>
      <c r="M98" s="5" t="inlineStr">
        <is>
          <t>Gasolina Comum</t>
        </is>
      </c>
      <c r="N98" s="22" t="inlineStr">
        <is>
          <t>Auto Posto Shell Santa Tecla (Bagé)</t>
        </is>
      </c>
      <c r="O98" s="5" t="inlineStr">
        <is>
          <t>Bagé</t>
        </is>
      </c>
      <c r="P98" s="22" t="inlineStr">
        <is>
          <t>Sd PM Santos</t>
        </is>
      </c>
      <c r="Q98" s="22" t="inlineStr"/>
    </row>
    <row r="99">
      <c r="A99" s="11" t="inlineStr">
        <is>
          <t>2026-08-29 23:19</t>
        </is>
      </c>
      <c r="B99" s="11" t="inlineStr">
        <is>
          <t>BM-13100</t>
        </is>
      </c>
      <c r="C99" s="11" t="inlineStr">
        <is>
          <t>JBG9A87</t>
        </is>
      </c>
      <c r="D99" s="24" t="inlineStr">
        <is>
          <t>46º BPM</t>
        </is>
      </c>
      <c r="E99" s="25" t="n">
        <v>69130</v>
      </c>
      <c r="F99" s="25" t="n">
        <v>68791</v>
      </c>
      <c r="G99" s="25" t="n">
        <v>339</v>
      </c>
      <c r="H99" s="15" t="n">
        <v>37.54</v>
      </c>
      <c r="I99" s="15" t="n">
        <v>9.029999999999999</v>
      </c>
      <c r="J99" s="16" t="n">
        <v>6.06</v>
      </c>
      <c r="K99" s="16" t="n">
        <v>227.49</v>
      </c>
      <c r="L99" s="16" t="n">
        <v>0.67</v>
      </c>
      <c r="M99" s="11" t="inlineStr">
        <is>
          <t>Diesel S10</t>
        </is>
      </c>
      <c r="N99" s="24" t="inlineStr">
        <is>
          <t>Posto Petrobras Centro Bagé</t>
        </is>
      </c>
      <c r="O99" s="11" t="inlineStr">
        <is>
          <t>Bagé</t>
        </is>
      </c>
      <c r="P99" s="24" t="inlineStr">
        <is>
          <t>Sd PM Ferreira</t>
        </is>
      </c>
      <c r="Q99" s="24" t="inlineStr"/>
    </row>
    <row r="100">
      <c r="A100" s="5" t="inlineStr">
        <is>
          <t>2026-08-29 23:19</t>
        </is>
      </c>
      <c r="B100" s="5" t="inlineStr">
        <is>
          <t>BM-14205</t>
        </is>
      </c>
      <c r="C100" s="5" t="inlineStr">
        <is>
          <t>JCY4B15</t>
        </is>
      </c>
      <c r="D100" s="22" t="inlineStr">
        <is>
          <t>Toyota Corolla 2.0</t>
        </is>
      </c>
      <c r="E100" s="23" t="n">
        <v>36637</v>
      </c>
      <c r="F100" s="23" t="n">
        <v>36330</v>
      </c>
      <c r="G100" s="23" t="n">
        <v>307</v>
      </c>
      <c r="H100" s="9" t="n">
        <v>32.05</v>
      </c>
      <c r="I100" s="9" t="n">
        <v>9.58</v>
      </c>
      <c r="J100" s="10" t="n">
        <v>6.18</v>
      </c>
      <c r="K100" s="10" t="n">
        <v>198.07</v>
      </c>
      <c r="L100" s="10" t="n">
        <v>0.65</v>
      </c>
      <c r="M100" s="5" t="inlineStr">
        <is>
          <t>Gasolina Comum</t>
        </is>
      </c>
      <c r="N100" s="22" t="inlineStr">
        <is>
          <t>Posto da Guarnição Militar Bagé</t>
        </is>
      </c>
      <c r="O100" s="5" t="inlineStr">
        <is>
          <t>Bagé</t>
        </is>
      </c>
      <c r="P100" s="22" t="inlineStr">
        <is>
          <t>Sd PM Pereira</t>
        </is>
      </c>
      <c r="Q100" s="22" t="inlineStr"/>
    </row>
    <row r="101">
      <c r="A101" s="11" t="inlineStr">
        <is>
          <t>2026-08-29 23:19</t>
        </is>
      </c>
      <c r="B101" s="11" t="inlineStr">
        <is>
          <t>BM-13100</t>
        </is>
      </c>
      <c r="C101" s="11" t="inlineStr">
        <is>
          <t>JBG9A87</t>
        </is>
      </c>
      <c r="D101" s="24" t="inlineStr">
        <is>
          <t>Toyota Hilux 4x4</t>
        </is>
      </c>
      <c r="E101" s="25" t="n">
        <v>69130</v>
      </c>
      <c r="F101" s="25" t="n">
        <v>68791</v>
      </c>
      <c r="G101" s="25" t="n">
        <v>339</v>
      </c>
      <c r="H101" s="15" t="n">
        <v>37.54</v>
      </c>
      <c r="I101" s="15" t="n">
        <v>9.029999999999999</v>
      </c>
      <c r="J101" s="16" t="n">
        <v>6.06</v>
      </c>
      <c r="K101" s="16" t="n">
        <v>227.49</v>
      </c>
      <c r="L101" s="16" t="n">
        <v>0.67</v>
      </c>
      <c r="M101" s="11" t="inlineStr">
        <is>
          <t>Diesel S10</t>
        </is>
      </c>
      <c r="N101" s="24" t="inlineStr">
        <is>
          <t>Posto Petrobras Centro Bagé</t>
        </is>
      </c>
      <c r="O101" s="11" t="inlineStr">
        <is>
          <t>Bagé</t>
        </is>
      </c>
      <c r="P101" s="24" t="inlineStr">
        <is>
          <t>Sd PM Ferreira</t>
        </is>
      </c>
      <c r="Q101" s="24" t="inlineStr"/>
    </row>
    <row r="102">
      <c r="A102" s="5" t="inlineStr">
        <is>
          <t>2026-08-29 11:42</t>
        </is>
      </c>
      <c r="B102" s="5" t="inlineStr">
        <is>
          <t>BM-12450</t>
        </is>
      </c>
      <c r="C102" s="5" t="inlineStr">
        <is>
          <t>IXO8A12</t>
        </is>
      </c>
      <c r="D102" s="22" t="inlineStr">
        <is>
          <t>46º BPM</t>
        </is>
      </c>
      <c r="E102" s="23" t="n">
        <v>43620</v>
      </c>
      <c r="F102" s="23" t="n">
        <v>43250</v>
      </c>
      <c r="G102" s="23" t="n">
        <v>370</v>
      </c>
      <c r="H102" s="9" t="n">
        <v>45.37</v>
      </c>
      <c r="I102" s="9" t="n">
        <v>8.16</v>
      </c>
      <c r="J102" s="10" t="n">
        <v>6.13</v>
      </c>
      <c r="K102" s="10" t="n">
        <v>278.12</v>
      </c>
      <c r="L102" s="10" t="n">
        <v>0.75</v>
      </c>
      <c r="M102" s="5" t="inlineStr">
        <is>
          <t>Gasolina Comum</t>
        </is>
      </c>
      <c r="N102" s="22" t="inlineStr">
        <is>
          <t>Posto Petrobras Centro Bagé</t>
        </is>
      </c>
      <c r="O102" s="5" t="inlineStr">
        <is>
          <t>Bagé</t>
        </is>
      </c>
      <c r="P102" s="22" t="inlineStr">
        <is>
          <t>Sd PM Santos</t>
        </is>
      </c>
      <c r="Q102" s="22" t="inlineStr"/>
    </row>
    <row r="103">
      <c r="A103" s="11" t="inlineStr">
        <is>
          <t>2026-08-29 11:42</t>
        </is>
      </c>
      <c r="B103" s="11" t="inlineStr">
        <is>
          <t>BM-15012</t>
        </is>
      </c>
      <c r="C103" s="11" t="inlineStr">
        <is>
          <t>JZZ7C40</t>
        </is>
      </c>
      <c r="D103" s="24" t="inlineStr">
        <is>
          <t>Chevrolet Spin 1.8</t>
        </is>
      </c>
      <c r="E103" s="25" t="n">
        <v>94679</v>
      </c>
      <c r="F103" s="25" t="n">
        <v>94412</v>
      </c>
      <c r="G103" s="25" t="n">
        <v>267</v>
      </c>
      <c r="H103" s="15" t="n">
        <v>32.19</v>
      </c>
      <c r="I103" s="15" t="n">
        <v>8.289999999999999</v>
      </c>
      <c r="J103" s="16" t="n">
        <v>6.05</v>
      </c>
      <c r="K103" s="16" t="n">
        <v>194.75</v>
      </c>
      <c r="L103" s="16" t="n">
        <v>0.73</v>
      </c>
      <c r="M103" s="11" t="inlineStr">
        <is>
          <t>Gasolina Comum</t>
        </is>
      </c>
      <c r="N103" s="24" t="inlineStr">
        <is>
          <t>Auto Posto Shell Santa Tecla (Bagé)</t>
        </is>
      </c>
      <c r="O103" s="11" t="inlineStr">
        <is>
          <t>Bagé</t>
        </is>
      </c>
      <c r="P103" s="24" t="inlineStr">
        <is>
          <t>Sd PM Rodrigues</t>
        </is>
      </c>
      <c r="Q103" s="24" t="inlineStr"/>
    </row>
    <row r="104">
      <c r="A104" s="5" t="inlineStr">
        <is>
          <t>2026-08-29 11:42</t>
        </is>
      </c>
      <c r="B104" s="5" t="inlineStr">
        <is>
          <t>BM-13105</t>
        </is>
      </c>
      <c r="C104" s="5" t="inlineStr">
        <is>
          <t>JBG9A90</t>
        </is>
      </c>
      <c r="D104" s="22" t="inlineStr">
        <is>
          <t>Toyota Hilux 4x4</t>
        </is>
      </c>
      <c r="E104" s="23" t="n">
        <v>80253</v>
      </c>
      <c r="F104" s="23" t="n">
        <v>79837</v>
      </c>
      <c r="G104" s="23" t="n">
        <v>416</v>
      </c>
      <c r="H104" s="9" t="n">
        <v>43.17</v>
      </c>
      <c r="I104" s="9" t="n">
        <v>9.640000000000001</v>
      </c>
      <c r="J104" s="10" t="n">
        <v>6.2</v>
      </c>
      <c r="K104" s="10" t="n">
        <v>267.65</v>
      </c>
      <c r="L104" s="10" t="n">
        <v>0.64</v>
      </c>
      <c r="M104" s="5" t="inlineStr">
        <is>
          <t>Diesel S10</t>
        </is>
      </c>
      <c r="N104" s="22" t="inlineStr">
        <is>
          <t>Auto Posto Shell Santa Tecla (Bagé)</t>
        </is>
      </c>
      <c r="O104" s="5" t="inlineStr">
        <is>
          <t>Bagé</t>
        </is>
      </c>
      <c r="P104" s="22" t="inlineStr">
        <is>
          <t>Sd PM Santos</t>
        </is>
      </c>
      <c r="Q104" s="22" t="inlineStr"/>
    </row>
    <row r="105">
      <c r="A105" s="11" t="inlineStr">
        <is>
          <t>2026-08-29 11:42</t>
        </is>
      </c>
      <c r="B105" s="11" t="inlineStr">
        <is>
          <t>BM-12450</t>
        </is>
      </c>
      <c r="C105" s="11" t="inlineStr">
        <is>
          <t>IXO8A12</t>
        </is>
      </c>
      <c r="D105" s="24" t="inlineStr">
        <is>
          <t>Renault Duster 1.6</t>
        </is>
      </c>
      <c r="E105" s="25" t="n">
        <v>43620</v>
      </c>
      <c r="F105" s="25" t="n">
        <v>43250</v>
      </c>
      <c r="G105" s="25" t="n">
        <v>370</v>
      </c>
      <c r="H105" s="15" t="n">
        <v>45.37</v>
      </c>
      <c r="I105" s="15" t="n">
        <v>8.16</v>
      </c>
      <c r="J105" s="16" t="n">
        <v>6.13</v>
      </c>
      <c r="K105" s="16" t="n">
        <v>278.12</v>
      </c>
      <c r="L105" s="16" t="n">
        <v>0.75</v>
      </c>
      <c r="M105" s="11" t="inlineStr">
        <is>
          <t>Gasolina Comum</t>
        </is>
      </c>
      <c r="N105" s="24" t="inlineStr">
        <is>
          <t>Posto Petrobras Centro Bagé</t>
        </is>
      </c>
      <c r="O105" s="11" t="inlineStr">
        <is>
          <t>Bagé</t>
        </is>
      </c>
      <c r="P105" s="24" t="inlineStr">
        <is>
          <t>Sd PM Santos</t>
        </is>
      </c>
      <c r="Q105" s="24" t="inlineStr"/>
    </row>
    <row r="106">
      <c r="A106" s="5" t="inlineStr">
        <is>
          <t>2026-08-28 03:02</t>
        </is>
      </c>
      <c r="B106" s="5" t="inlineStr">
        <is>
          <t>BM-14205</t>
        </is>
      </c>
      <c r="C106" s="5" t="inlineStr">
        <is>
          <t>JCY4B15</t>
        </is>
      </c>
      <c r="D106" s="22" t="inlineStr">
        <is>
          <t>Toyota Corolla 2.0</t>
        </is>
      </c>
      <c r="E106" s="23" t="n">
        <v>36330</v>
      </c>
      <c r="F106" s="23" t="n">
        <v>35884</v>
      </c>
      <c r="G106" s="23" t="n">
        <v>446</v>
      </c>
      <c r="H106" s="9" t="n">
        <v>42.93</v>
      </c>
      <c r="I106" s="9" t="n">
        <v>10.39</v>
      </c>
      <c r="J106" s="10" t="n">
        <v>6.13</v>
      </c>
      <c r="K106" s="10" t="n">
        <v>263.16</v>
      </c>
      <c r="L106" s="10" t="n">
        <v>0.59</v>
      </c>
      <c r="M106" s="5" t="inlineStr">
        <is>
          <t>Gasolina Comum</t>
        </is>
      </c>
      <c r="N106" s="22" t="inlineStr">
        <is>
          <t>Posto Ipiranga Tiaraju (Bagé)</t>
        </is>
      </c>
      <c r="O106" s="5" t="inlineStr">
        <is>
          <t>Bagé</t>
        </is>
      </c>
      <c r="P106" s="22" t="inlineStr">
        <is>
          <t>Sd PM Souza</t>
        </is>
      </c>
      <c r="Q106" s="22" t="inlineStr"/>
    </row>
    <row r="107">
      <c r="A107" s="11" t="inlineStr">
        <is>
          <t>2026-08-28 03:02</t>
        </is>
      </c>
      <c r="B107" s="11" t="inlineStr">
        <is>
          <t>BM-12451</t>
        </is>
      </c>
      <c r="C107" s="11" t="inlineStr">
        <is>
          <t>IXO8A15</t>
        </is>
      </c>
      <c r="D107" s="24" t="inlineStr">
        <is>
          <t>Renault Duster 1.6</t>
        </is>
      </c>
      <c r="E107" s="25" t="n">
        <v>53202</v>
      </c>
      <c r="F107" s="25" t="n">
        <v>52908</v>
      </c>
      <c r="G107" s="25" t="n">
        <v>294</v>
      </c>
      <c r="H107" s="15" t="n">
        <v>33.83</v>
      </c>
      <c r="I107" s="15" t="n">
        <v>8.69</v>
      </c>
      <c r="J107" s="16" t="n">
        <v>6.15</v>
      </c>
      <c r="K107" s="16" t="n">
        <v>208.05</v>
      </c>
      <c r="L107" s="16" t="n">
        <v>0.71</v>
      </c>
      <c r="M107" s="11" t="inlineStr">
        <is>
          <t>Gasolina Comum</t>
        </is>
      </c>
      <c r="N107" s="24" t="inlineStr">
        <is>
          <t>Auto Posto Shell Santa Tecla (Bagé)</t>
        </is>
      </c>
      <c r="O107" s="11" t="inlineStr">
        <is>
          <t>Bagé</t>
        </is>
      </c>
      <c r="P107" s="24" t="inlineStr">
        <is>
          <t>Sd PM Ferreira</t>
        </is>
      </c>
      <c r="Q107" s="24" t="inlineStr"/>
    </row>
    <row r="108">
      <c r="A108" s="5" t="inlineStr">
        <is>
          <t>2026-08-27 01:19</t>
        </is>
      </c>
      <c r="B108" s="5" t="inlineStr">
        <is>
          <t>BM-12450</t>
        </is>
      </c>
      <c r="C108" s="5" t="inlineStr">
        <is>
          <t>IXO8A12</t>
        </is>
      </c>
      <c r="D108" s="22" t="inlineStr">
        <is>
          <t>46º BPM</t>
        </is>
      </c>
      <c r="E108" s="23" t="n">
        <v>43250</v>
      </c>
      <c r="F108" s="23" t="n">
        <v>42854</v>
      </c>
      <c r="G108" s="23" t="n">
        <v>396</v>
      </c>
      <c r="H108" s="9" t="n">
        <v>48.32</v>
      </c>
      <c r="I108" s="9" t="n">
        <v>8.199999999999999</v>
      </c>
      <c r="J108" s="10" t="n">
        <v>6.31</v>
      </c>
      <c r="K108" s="10" t="n">
        <v>304.9</v>
      </c>
      <c r="L108" s="10" t="n">
        <v>0.77</v>
      </c>
      <c r="M108" s="5" t="inlineStr">
        <is>
          <t>Gasolina Comum</t>
        </is>
      </c>
      <c r="N108" s="22" t="inlineStr">
        <is>
          <t>Auto Posto Shell Santa Tecla (Bagé)</t>
        </is>
      </c>
      <c r="O108" s="5" t="inlineStr">
        <is>
          <t>Bagé</t>
        </is>
      </c>
      <c r="P108" s="22" t="inlineStr">
        <is>
          <t>Sd PM Oliveira</t>
        </is>
      </c>
      <c r="Q108" s="22" t="inlineStr"/>
    </row>
    <row r="109">
      <c r="A109" s="11" t="inlineStr">
        <is>
          <t>2026-08-27 01:19</t>
        </is>
      </c>
      <c r="B109" s="11" t="inlineStr">
        <is>
          <t>BM-14205</t>
        </is>
      </c>
      <c r="C109" s="11" t="inlineStr">
        <is>
          <t>JCY4B15</t>
        </is>
      </c>
      <c r="D109" s="24" t="inlineStr">
        <is>
          <t>Toyota Corolla 2.0</t>
        </is>
      </c>
      <c r="E109" s="25" t="n">
        <v>35884</v>
      </c>
      <c r="F109" s="25" t="n">
        <v>35432</v>
      </c>
      <c r="G109" s="25" t="n">
        <v>452</v>
      </c>
      <c r="H109" s="15" t="n">
        <v>46.42</v>
      </c>
      <c r="I109" s="15" t="n">
        <v>9.74</v>
      </c>
      <c r="J109" s="16" t="n">
        <v>6.3</v>
      </c>
      <c r="K109" s="16" t="n">
        <v>292.45</v>
      </c>
      <c r="L109" s="16" t="n">
        <v>0.65</v>
      </c>
      <c r="M109" s="11" t="inlineStr">
        <is>
          <t>Gasolina Comum</t>
        </is>
      </c>
      <c r="N109" s="24" t="inlineStr">
        <is>
          <t>Posto Petrobras Centro Bagé</t>
        </is>
      </c>
      <c r="O109" s="11" t="inlineStr">
        <is>
          <t>Bagé</t>
        </is>
      </c>
      <c r="P109" s="24" t="inlineStr">
        <is>
          <t>Sd PM Pereira</t>
        </is>
      </c>
      <c r="Q109" s="24" t="inlineStr"/>
    </row>
    <row r="110">
      <c r="A110" s="5" t="inlineStr">
        <is>
          <t>2026-08-27 01:19</t>
        </is>
      </c>
      <c r="B110" s="5" t="inlineStr">
        <is>
          <t>BM-12451</t>
        </is>
      </c>
      <c r="C110" s="5" t="inlineStr">
        <is>
          <t>IXO8A15</t>
        </is>
      </c>
      <c r="D110" s="22" t="inlineStr">
        <is>
          <t>Renault Duster 1.6</t>
        </is>
      </c>
      <c r="E110" s="23" t="n">
        <v>52908</v>
      </c>
      <c r="F110" s="23" t="n">
        <v>52478</v>
      </c>
      <c r="G110" s="23" t="n">
        <v>430</v>
      </c>
      <c r="H110" s="9" t="n">
        <v>51.85</v>
      </c>
      <c r="I110" s="9" t="n">
        <v>8.289999999999999</v>
      </c>
      <c r="J110" s="10" t="n">
        <v>6.2</v>
      </c>
      <c r="K110" s="10" t="n">
        <v>321.47</v>
      </c>
      <c r="L110" s="10" t="n">
        <v>0.75</v>
      </c>
      <c r="M110" s="5" t="inlineStr">
        <is>
          <t>Gasolina Comum</t>
        </is>
      </c>
      <c r="N110" s="22" t="inlineStr">
        <is>
          <t>Posto Ipiranga Tiaraju (Bagé)</t>
        </is>
      </c>
      <c r="O110" s="5" t="inlineStr">
        <is>
          <t>Bagé</t>
        </is>
      </c>
      <c r="P110" s="22" t="inlineStr">
        <is>
          <t>Sd PM Oliveira</t>
        </is>
      </c>
      <c r="Q110" s="22" t="inlineStr"/>
    </row>
    <row r="111">
      <c r="A111" s="11" t="inlineStr">
        <is>
          <t>2026-08-27 01:19</t>
        </is>
      </c>
      <c r="B111" s="11" t="inlineStr">
        <is>
          <t>BM-12450</t>
        </is>
      </c>
      <c r="C111" s="11" t="inlineStr">
        <is>
          <t>IXO8A12</t>
        </is>
      </c>
      <c r="D111" s="24" t="inlineStr">
        <is>
          <t>Renault Duster 1.6</t>
        </is>
      </c>
      <c r="E111" s="25" t="n">
        <v>43250</v>
      </c>
      <c r="F111" s="25" t="n">
        <v>42854</v>
      </c>
      <c r="G111" s="25" t="n">
        <v>396</v>
      </c>
      <c r="H111" s="15" t="n">
        <v>48.32</v>
      </c>
      <c r="I111" s="15" t="n">
        <v>8.199999999999999</v>
      </c>
      <c r="J111" s="16" t="n">
        <v>6.31</v>
      </c>
      <c r="K111" s="16" t="n">
        <v>304.9</v>
      </c>
      <c r="L111" s="16" t="n">
        <v>0.77</v>
      </c>
      <c r="M111" s="11" t="inlineStr">
        <is>
          <t>Gasolina Comum</t>
        </is>
      </c>
      <c r="N111" s="24" t="inlineStr">
        <is>
          <t>Auto Posto Shell Santa Tecla (Bagé)</t>
        </is>
      </c>
      <c r="O111" s="11" t="inlineStr">
        <is>
          <t>Bagé</t>
        </is>
      </c>
      <c r="P111" s="24" t="inlineStr">
        <is>
          <t>Sd PM Oliveira</t>
        </is>
      </c>
      <c r="Q111" s="24" t="inlineStr"/>
    </row>
    <row r="112">
      <c r="A112" s="5" t="inlineStr">
        <is>
          <t>2026-08-26 13:33</t>
        </is>
      </c>
      <c r="B112" s="5" t="inlineStr">
        <is>
          <t>BM-12450</t>
        </is>
      </c>
      <c r="C112" s="5" t="inlineStr">
        <is>
          <t>IXO8A12</t>
        </is>
      </c>
      <c r="D112" s="22" t="inlineStr">
        <is>
          <t>46º BPM</t>
        </is>
      </c>
      <c r="E112" s="23" t="n">
        <v>42854</v>
      </c>
      <c r="F112" s="23" t="n">
        <v>42541</v>
      </c>
      <c r="G112" s="23" t="n">
        <v>313</v>
      </c>
      <c r="H112" s="9" t="n">
        <v>36.93</v>
      </c>
      <c r="I112" s="9" t="n">
        <v>8.48</v>
      </c>
      <c r="J112" s="10" t="n">
        <v>6.08</v>
      </c>
      <c r="K112" s="10" t="n">
        <v>224.53</v>
      </c>
      <c r="L112" s="10" t="n">
        <v>0.72</v>
      </c>
      <c r="M112" s="5" t="inlineStr">
        <is>
          <t>Gasolina Comum</t>
        </is>
      </c>
      <c r="N112" s="22" t="inlineStr">
        <is>
          <t>Posto Ipiranga Tiaraju (Bagé)</t>
        </is>
      </c>
      <c r="O112" s="5" t="inlineStr">
        <is>
          <t>Bagé</t>
        </is>
      </c>
      <c r="P112" s="22" t="inlineStr">
        <is>
          <t>Sd PM Santos</t>
        </is>
      </c>
      <c r="Q112" s="22" t="inlineStr"/>
    </row>
    <row r="113">
      <c r="A113" s="11" t="inlineStr">
        <is>
          <t>2026-08-26 13:33</t>
        </is>
      </c>
      <c r="B113" s="11" t="inlineStr">
        <is>
          <t>BM-12450</t>
        </is>
      </c>
      <c r="C113" s="11" t="inlineStr">
        <is>
          <t>IXO8A12</t>
        </is>
      </c>
      <c r="D113" s="24" t="inlineStr">
        <is>
          <t>Renault Duster 1.6</t>
        </is>
      </c>
      <c r="E113" s="25" t="n">
        <v>42854</v>
      </c>
      <c r="F113" s="25" t="n">
        <v>42541</v>
      </c>
      <c r="G113" s="25" t="n">
        <v>313</v>
      </c>
      <c r="H113" s="15" t="n">
        <v>36.93</v>
      </c>
      <c r="I113" s="15" t="n">
        <v>8.48</v>
      </c>
      <c r="J113" s="16" t="n">
        <v>6.08</v>
      </c>
      <c r="K113" s="16" t="n">
        <v>224.53</v>
      </c>
      <c r="L113" s="16" t="n">
        <v>0.72</v>
      </c>
      <c r="M113" s="11" t="inlineStr">
        <is>
          <t>Gasolina Comum</t>
        </is>
      </c>
      <c r="N113" s="24" t="inlineStr">
        <is>
          <t>Posto Ipiranga Tiaraju (Bagé)</t>
        </is>
      </c>
      <c r="O113" s="11" t="inlineStr">
        <is>
          <t>Bagé</t>
        </is>
      </c>
      <c r="P113" s="24" t="inlineStr">
        <is>
          <t>Sd PM Santos</t>
        </is>
      </c>
      <c r="Q113" s="24" t="inlineStr"/>
    </row>
    <row r="114">
      <c r="A114" s="5" t="inlineStr">
        <is>
          <t>2026-08-25 08:59</t>
        </is>
      </c>
      <c r="B114" s="5" t="inlineStr">
        <is>
          <t>BM-14200</t>
        </is>
      </c>
      <c r="C114" s="5" t="inlineStr">
        <is>
          <t>JCY4B11</t>
        </is>
      </c>
      <c r="D114" s="22" t="inlineStr">
        <is>
          <t>46º BPM</t>
        </is>
      </c>
      <c r="E114" s="23" t="n">
        <v>32017</v>
      </c>
      <c r="F114" s="23" t="n">
        <v>31518</v>
      </c>
      <c r="G114" s="23" t="n">
        <v>499</v>
      </c>
      <c r="H114" s="9" t="n">
        <v>46.28</v>
      </c>
      <c r="I114" s="9" t="n">
        <v>10.78</v>
      </c>
      <c r="J114" s="10" t="n">
        <v>6.28</v>
      </c>
      <c r="K114" s="10" t="n">
        <v>290.64</v>
      </c>
      <c r="L114" s="10" t="n">
        <v>0.58</v>
      </c>
      <c r="M114" s="5" t="inlineStr">
        <is>
          <t>Gasolina Aditivada</t>
        </is>
      </c>
      <c r="N114" s="22" t="inlineStr">
        <is>
          <t>Posto Ipiranga Tiaraju (Bagé)</t>
        </is>
      </c>
      <c r="O114" s="5" t="inlineStr">
        <is>
          <t>Bagé</t>
        </is>
      </c>
      <c r="P114" s="22" t="inlineStr">
        <is>
          <t>Sd PM Silva</t>
        </is>
      </c>
      <c r="Q114" s="22" t="inlineStr"/>
    </row>
    <row r="115">
      <c r="A115" s="11" t="inlineStr">
        <is>
          <t>2026-08-25 08:59</t>
        </is>
      </c>
      <c r="B115" s="11" t="inlineStr">
        <is>
          <t>BM-14205</t>
        </is>
      </c>
      <c r="C115" s="11" t="inlineStr">
        <is>
          <t>JCY4B15</t>
        </is>
      </c>
      <c r="D115" s="24" t="inlineStr">
        <is>
          <t>Toyota Corolla 2.0</t>
        </is>
      </c>
      <c r="E115" s="25" t="n">
        <v>35432</v>
      </c>
      <c r="F115" s="25" t="n">
        <v>34931</v>
      </c>
      <c r="G115" s="25" t="n">
        <v>501</v>
      </c>
      <c r="H115" s="15" t="n">
        <v>48.02</v>
      </c>
      <c r="I115" s="15" t="n">
        <v>10.43</v>
      </c>
      <c r="J115" s="16" t="n">
        <v>6.28</v>
      </c>
      <c r="K115" s="16" t="n">
        <v>301.57</v>
      </c>
      <c r="L115" s="16" t="n">
        <v>0.6</v>
      </c>
      <c r="M115" s="11" t="inlineStr">
        <is>
          <t>Gasolina Comum</t>
        </is>
      </c>
      <c r="N115" s="24" t="inlineStr">
        <is>
          <t>Posto Ipiranga Tiaraju (Bagé)</t>
        </is>
      </c>
      <c r="O115" s="11" t="inlineStr">
        <is>
          <t>Bagé</t>
        </is>
      </c>
      <c r="P115" s="24" t="inlineStr">
        <is>
          <t>Sd PM Ferreira</t>
        </is>
      </c>
      <c r="Q115" s="24" t="inlineStr"/>
    </row>
    <row r="116">
      <c r="A116" s="5" t="inlineStr">
        <is>
          <t>2026-08-25 08:59</t>
        </is>
      </c>
      <c r="B116" s="5" t="inlineStr">
        <is>
          <t>BM-14200</t>
        </is>
      </c>
      <c r="C116" s="5" t="inlineStr">
        <is>
          <t>JCY4B11</t>
        </is>
      </c>
      <c r="D116" s="22" t="inlineStr">
        <is>
          <t>Toyota Corolla 2.0</t>
        </is>
      </c>
      <c r="E116" s="23" t="n">
        <v>32017</v>
      </c>
      <c r="F116" s="23" t="n">
        <v>31518</v>
      </c>
      <c r="G116" s="23" t="n">
        <v>499</v>
      </c>
      <c r="H116" s="9" t="n">
        <v>46.28</v>
      </c>
      <c r="I116" s="9" t="n">
        <v>10.78</v>
      </c>
      <c r="J116" s="10" t="n">
        <v>6.28</v>
      </c>
      <c r="K116" s="10" t="n">
        <v>290.64</v>
      </c>
      <c r="L116" s="10" t="n">
        <v>0.58</v>
      </c>
      <c r="M116" s="5" t="inlineStr">
        <is>
          <t>Gasolina Aditivada</t>
        </is>
      </c>
      <c r="N116" s="22" t="inlineStr">
        <is>
          <t>Posto Ipiranga Tiaraju (Bagé)</t>
        </is>
      </c>
      <c r="O116" s="5" t="inlineStr">
        <is>
          <t>Bagé</t>
        </is>
      </c>
      <c r="P116" s="22" t="inlineStr">
        <is>
          <t>Sd PM Silva</t>
        </is>
      </c>
      <c r="Q116" s="22" t="inlineStr"/>
    </row>
    <row r="117">
      <c r="A117" s="11" t="inlineStr">
        <is>
          <t>2026-08-24 04:59</t>
        </is>
      </c>
      <c r="B117" s="11" t="inlineStr">
        <is>
          <t>BM-15012</t>
        </is>
      </c>
      <c r="C117" s="11" t="inlineStr">
        <is>
          <t>JZZ7C40</t>
        </is>
      </c>
      <c r="D117" s="24" t="inlineStr">
        <is>
          <t>Chevrolet Spin 1.8</t>
        </is>
      </c>
      <c r="E117" s="25" t="n">
        <v>94412</v>
      </c>
      <c r="F117" s="26" t="inlineStr">
        <is>
          <t>-</t>
        </is>
      </c>
      <c r="G117" s="25" t="n">
        <v>0</v>
      </c>
      <c r="H117" s="15" t="n">
        <v>34.84</v>
      </c>
      <c r="I117" s="15" t="n">
        <v>0</v>
      </c>
      <c r="J117" s="16" t="n">
        <v>6.22</v>
      </c>
      <c r="K117" s="16" t="n">
        <v>216.7</v>
      </c>
      <c r="L117" s="16" t="n">
        <v>0</v>
      </c>
      <c r="M117" s="11" t="inlineStr">
        <is>
          <t>Gasolina Comum</t>
        </is>
      </c>
      <c r="N117" s="24" t="inlineStr">
        <is>
          <t>Posto Petrobras Centro Bagé</t>
        </is>
      </c>
      <c r="O117" s="11" t="inlineStr">
        <is>
          <t>Bagé</t>
        </is>
      </c>
      <c r="P117" s="24" t="inlineStr">
        <is>
          <t>Sd PM Silva</t>
        </is>
      </c>
      <c r="Q117" s="24" t="inlineStr">
        <is>
          <t>Primeiro registro do período (sem odômetro anterior para cálculo)</t>
        </is>
      </c>
    </row>
    <row r="118">
      <c r="A118" s="5" t="inlineStr">
        <is>
          <t>2026-08-24 04:59</t>
        </is>
      </c>
      <c r="B118" s="5" t="inlineStr">
        <is>
          <t>BM-14205</t>
        </is>
      </c>
      <c r="C118" s="5" t="inlineStr">
        <is>
          <t>JCY4B15</t>
        </is>
      </c>
      <c r="D118" s="22" t="inlineStr">
        <is>
          <t>Toyota Corolla 2.0</t>
        </is>
      </c>
      <c r="E118" s="23" t="n">
        <v>34931</v>
      </c>
      <c r="F118" s="27" t="inlineStr">
        <is>
          <t>-</t>
        </is>
      </c>
      <c r="G118" s="23" t="n">
        <v>0</v>
      </c>
      <c r="H118" s="9" t="n">
        <v>40.29</v>
      </c>
      <c r="I118" s="9" t="n">
        <v>0</v>
      </c>
      <c r="J118" s="10" t="n">
        <v>6.3</v>
      </c>
      <c r="K118" s="10" t="n">
        <v>253.83</v>
      </c>
      <c r="L118" s="10" t="n">
        <v>0</v>
      </c>
      <c r="M118" s="5" t="inlineStr">
        <is>
          <t>Gasolina Comum</t>
        </is>
      </c>
      <c r="N118" s="22" t="inlineStr">
        <is>
          <t>Posto Ipiranga Tiaraju (Bagé)</t>
        </is>
      </c>
      <c r="O118" s="5" t="inlineStr">
        <is>
          <t>Bagé</t>
        </is>
      </c>
      <c r="P118" s="22" t="inlineStr">
        <is>
          <t>Sd PM Rodrigues</t>
        </is>
      </c>
      <c r="Q118" s="22" t="inlineStr">
        <is>
          <t>Primeiro registro do período (sem odômetro anterior para cálculo)</t>
        </is>
      </c>
    </row>
    <row r="119">
      <c r="A119" s="11" t="inlineStr">
        <is>
          <t>2026-08-24 04:59</t>
        </is>
      </c>
      <c r="B119" s="11" t="inlineStr">
        <is>
          <t>BM-13105</t>
        </is>
      </c>
      <c r="C119" s="11" t="inlineStr">
        <is>
          <t>JBG9A90</t>
        </is>
      </c>
      <c r="D119" s="24" t="inlineStr">
        <is>
          <t>Toyota Hilux 4x4</t>
        </is>
      </c>
      <c r="E119" s="25" t="n">
        <v>79837</v>
      </c>
      <c r="F119" s="25" t="n">
        <v>79509</v>
      </c>
      <c r="G119" s="25" t="n">
        <v>328</v>
      </c>
      <c r="H119" s="15" t="n">
        <v>34.27</v>
      </c>
      <c r="I119" s="15" t="n">
        <v>9.57</v>
      </c>
      <c r="J119" s="16" t="n">
        <v>6.1</v>
      </c>
      <c r="K119" s="16" t="n">
        <v>209.05</v>
      </c>
      <c r="L119" s="16" t="n">
        <v>0.64</v>
      </c>
      <c r="M119" s="11" t="inlineStr">
        <is>
          <t>Diesel S10</t>
        </is>
      </c>
      <c r="N119" s="24" t="inlineStr">
        <is>
          <t>Posto Petrobras Centro Bagé</t>
        </is>
      </c>
      <c r="O119" s="11" t="inlineStr">
        <is>
          <t>Bagé</t>
        </is>
      </c>
      <c r="P119" s="24" t="inlineStr">
        <is>
          <t>Sd PM Santos</t>
        </is>
      </c>
      <c r="Q119" s="24" t="inlineStr"/>
    </row>
    <row r="120">
      <c r="A120" s="5" t="inlineStr">
        <is>
          <t>2026-08-24 04:59</t>
        </is>
      </c>
      <c r="B120" s="5" t="inlineStr">
        <is>
          <t>BM-12451</t>
        </is>
      </c>
      <c r="C120" s="5" t="inlineStr">
        <is>
          <t>IXO8A15</t>
        </is>
      </c>
      <c r="D120" s="22" t="inlineStr">
        <is>
          <t>Renault Duster 1.6</t>
        </is>
      </c>
      <c r="E120" s="23" t="n">
        <v>52478</v>
      </c>
      <c r="F120" s="23" t="n">
        <v>52196</v>
      </c>
      <c r="G120" s="23" t="n">
        <v>282</v>
      </c>
      <c r="H120" s="9" t="n">
        <v>34.69</v>
      </c>
      <c r="I120" s="9" t="n">
        <v>8.130000000000001</v>
      </c>
      <c r="J120" s="10" t="n">
        <v>6.25</v>
      </c>
      <c r="K120" s="10" t="n">
        <v>216.81</v>
      </c>
      <c r="L120" s="10" t="n">
        <v>0.77</v>
      </c>
      <c r="M120" s="5" t="inlineStr">
        <is>
          <t>Gasolina Comum</t>
        </is>
      </c>
      <c r="N120" s="22" t="inlineStr">
        <is>
          <t>Auto Posto Shell Santa Tecla (Bagé)</t>
        </is>
      </c>
      <c r="O120" s="5" t="inlineStr">
        <is>
          <t>Bagé</t>
        </is>
      </c>
      <c r="P120" s="22" t="inlineStr">
        <is>
          <t>Sd PM Ferreira</t>
        </is>
      </c>
      <c r="Q120" s="22" t="inlineStr"/>
    </row>
    <row r="121">
      <c r="A121" s="11" t="inlineStr">
        <is>
          <t>2026-08-23 03:49</t>
        </is>
      </c>
      <c r="B121" s="11" t="inlineStr">
        <is>
          <t>BM-12450</t>
        </is>
      </c>
      <c r="C121" s="11" t="inlineStr">
        <is>
          <t>IXO8A12</t>
        </is>
      </c>
      <c r="D121" s="24" t="inlineStr">
        <is>
          <t>46º BPM</t>
        </is>
      </c>
      <c r="E121" s="25" t="n">
        <v>42541</v>
      </c>
      <c r="F121" s="26" t="inlineStr">
        <is>
          <t>-</t>
        </is>
      </c>
      <c r="G121" s="25" t="n">
        <v>0</v>
      </c>
      <c r="H121" s="15" t="n">
        <v>42.22</v>
      </c>
      <c r="I121" s="15" t="n">
        <v>0</v>
      </c>
      <c r="J121" s="16" t="n">
        <v>6.27</v>
      </c>
      <c r="K121" s="16" t="n">
        <v>264.72</v>
      </c>
      <c r="L121" s="16" t="n">
        <v>0</v>
      </c>
      <c r="M121" s="11" t="inlineStr">
        <is>
          <t>Gasolina Comum</t>
        </is>
      </c>
      <c r="N121" s="24" t="inlineStr">
        <is>
          <t>Posto da Guarnição Militar Bagé</t>
        </is>
      </c>
      <c r="O121" s="11" t="inlineStr">
        <is>
          <t>Bagé</t>
        </is>
      </c>
      <c r="P121" s="24" t="inlineStr">
        <is>
          <t>Sd PM Rodrigues</t>
        </is>
      </c>
      <c r="Q121" s="24" t="inlineStr">
        <is>
          <t>Primeiro registro do período (sem odômetro anterior para cálculo)</t>
        </is>
      </c>
    </row>
    <row r="122">
      <c r="A122" s="5" t="inlineStr">
        <is>
          <t>2026-08-23 03:49</t>
        </is>
      </c>
      <c r="B122" s="5" t="inlineStr">
        <is>
          <t>BM-15010</t>
        </is>
      </c>
      <c r="C122" s="5" t="inlineStr">
        <is>
          <t>JZZ7C34</t>
        </is>
      </c>
      <c r="D122" s="22" t="inlineStr">
        <is>
          <t>Chevrolet Spin 1.8</t>
        </is>
      </c>
      <c r="E122" s="23" t="n">
        <v>88922</v>
      </c>
      <c r="F122" s="23" t="n">
        <v>88621</v>
      </c>
      <c r="G122" s="23" t="n">
        <v>301</v>
      </c>
      <c r="H122" s="9" t="n">
        <v>35.41</v>
      </c>
      <c r="I122" s="9" t="n">
        <v>8.5</v>
      </c>
      <c r="J122" s="10" t="n">
        <v>6.28</v>
      </c>
      <c r="K122" s="10" t="n">
        <v>222.37</v>
      </c>
      <c r="L122" s="10" t="n">
        <v>0.74</v>
      </c>
      <c r="M122" s="5" t="inlineStr">
        <is>
          <t>Gasolina Comum</t>
        </is>
      </c>
      <c r="N122" s="22" t="inlineStr">
        <is>
          <t>Posto Ipiranga Tiaraju (Bagé)</t>
        </is>
      </c>
      <c r="O122" s="5" t="inlineStr">
        <is>
          <t>Bagé</t>
        </is>
      </c>
      <c r="P122" s="22" t="inlineStr">
        <is>
          <t>Sd PM Rodrigues</t>
        </is>
      </c>
      <c r="Q122" s="22" t="inlineStr"/>
    </row>
    <row r="123">
      <c r="A123" s="11" t="inlineStr">
        <is>
          <t>2026-08-23 03:49</t>
        </is>
      </c>
      <c r="B123" s="11" t="inlineStr">
        <is>
          <t>BM-13105</t>
        </is>
      </c>
      <c r="C123" s="11" t="inlineStr">
        <is>
          <t>JBG9A90</t>
        </is>
      </c>
      <c r="D123" s="24" t="inlineStr">
        <is>
          <t>Toyota Hilux 4x4</t>
        </is>
      </c>
      <c r="E123" s="25" t="n">
        <v>79509</v>
      </c>
      <c r="F123" s="26" t="inlineStr">
        <is>
          <t>-</t>
        </is>
      </c>
      <c r="G123" s="25" t="n">
        <v>0</v>
      </c>
      <c r="H123" s="15" t="n">
        <v>42.66</v>
      </c>
      <c r="I123" s="15" t="n">
        <v>0</v>
      </c>
      <c r="J123" s="16" t="n">
        <v>6.01</v>
      </c>
      <c r="K123" s="16" t="n">
        <v>256.39</v>
      </c>
      <c r="L123" s="16" t="n">
        <v>0</v>
      </c>
      <c r="M123" s="11" t="inlineStr">
        <is>
          <t>Diesel S10</t>
        </is>
      </c>
      <c r="N123" s="24" t="inlineStr">
        <is>
          <t>Auto Posto Shell Santa Tecla (Bagé)</t>
        </is>
      </c>
      <c r="O123" s="11" t="inlineStr">
        <is>
          <t>Bagé</t>
        </is>
      </c>
      <c r="P123" s="24" t="inlineStr">
        <is>
          <t>Sd PM Souza</t>
        </is>
      </c>
      <c r="Q123" s="24" t="inlineStr">
        <is>
          <t>Primeiro registro do período (sem odômetro anterior para cálculo)</t>
        </is>
      </c>
    </row>
    <row r="124">
      <c r="A124" s="5" t="inlineStr">
        <is>
          <t>2026-08-23 03:49</t>
        </is>
      </c>
      <c r="B124" s="5" t="inlineStr">
        <is>
          <t>BM-12451</t>
        </is>
      </c>
      <c r="C124" s="5" t="inlineStr">
        <is>
          <t>IXO8A15</t>
        </is>
      </c>
      <c r="D124" s="22" t="inlineStr">
        <is>
          <t>Renault Duster 1.6</t>
        </is>
      </c>
      <c r="E124" s="23" t="n">
        <v>52196</v>
      </c>
      <c r="F124" s="23" t="n">
        <v>51847</v>
      </c>
      <c r="G124" s="23" t="n">
        <v>349</v>
      </c>
      <c r="H124" s="9" t="n">
        <v>43.2</v>
      </c>
      <c r="I124" s="9" t="n">
        <v>8.08</v>
      </c>
      <c r="J124" s="10" t="n">
        <v>6.11</v>
      </c>
      <c r="K124" s="10" t="n">
        <v>263.95</v>
      </c>
      <c r="L124" s="10" t="n">
        <v>0.76</v>
      </c>
      <c r="M124" s="5" t="inlineStr">
        <is>
          <t>Gasolina Comum</t>
        </is>
      </c>
      <c r="N124" s="22" t="inlineStr">
        <is>
          <t>Auto Posto Shell Santa Tecla (Bagé)</t>
        </is>
      </c>
      <c r="O124" s="5" t="inlineStr">
        <is>
          <t>Bagé</t>
        </is>
      </c>
      <c r="P124" s="22" t="inlineStr">
        <is>
          <t>Sd PM Rodrigues</t>
        </is>
      </c>
      <c r="Q124" s="22" t="inlineStr"/>
    </row>
    <row r="125">
      <c r="A125" s="11" t="inlineStr">
        <is>
          <t>2026-08-23 03:49</t>
        </is>
      </c>
      <c r="B125" s="11" t="inlineStr">
        <is>
          <t>BM-12450</t>
        </is>
      </c>
      <c r="C125" s="11" t="inlineStr">
        <is>
          <t>IXO8A12</t>
        </is>
      </c>
      <c r="D125" s="24" t="inlineStr">
        <is>
          <t>Renault Duster 1.6</t>
        </is>
      </c>
      <c r="E125" s="25" t="n">
        <v>42541</v>
      </c>
      <c r="F125" s="26" t="inlineStr">
        <is>
          <t>-</t>
        </is>
      </c>
      <c r="G125" s="25" t="n">
        <v>0</v>
      </c>
      <c r="H125" s="15" t="n">
        <v>42.22</v>
      </c>
      <c r="I125" s="15" t="n">
        <v>0</v>
      </c>
      <c r="J125" s="16" t="n">
        <v>6.27</v>
      </c>
      <c r="K125" s="16" t="n">
        <v>264.72</v>
      </c>
      <c r="L125" s="16" t="n">
        <v>0</v>
      </c>
      <c r="M125" s="11" t="inlineStr">
        <is>
          <t>Gasolina Comum</t>
        </is>
      </c>
      <c r="N125" s="24" t="inlineStr">
        <is>
          <t>Posto da Guarnição Militar Bagé</t>
        </is>
      </c>
      <c r="O125" s="11" t="inlineStr">
        <is>
          <t>Bagé</t>
        </is>
      </c>
      <c r="P125" s="24" t="inlineStr">
        <is>
          <t>Sd PM Rodrigues</t>
        </is>
      </c>
      <c r="Q125" s="24" t="inlineStr">
        <is>
          <t>Primeiro registro do período (sem odômetro anterior para cálculo)</t>
        </is>
      </c>
    </row>
    <row r="126">
      <c r="A126" s="5" t="inlineStr">
        <is>
          <t>2026-08-22 10:16</t>
        </is>
      </c>
      <c r="B126" s="5" t="inlineStr">
        <is>
          <t>BM-13100</t>
        </is>
      </c>
      <c r="C126" s="5" t="inlineStr">
        <is>
          <t>JBG9A87</t>
        </is>
      </c>
      <c r="D126" s="22" t="inlineStr">
        <is>
          <t>46º BPM</t>
        </is>
      </c>
      <c r="E126" s="23" t="n">
        <v>68791</v>
      </c>
      <c r="F126" s="27" t="inlineStr">
        <is>
          <t>-</t>
        </is>
      </c>
      <c r="G126" s="23" t="n">
        <v>0</v>
      </c>
      <c r="H126" s="9" t="n">
        <v>43.07</v>
      </c>
      <c r="I126" s="9" t="n">
        <v>0</v>
      </c>
      <c r="J126" s="10" t="n">
        <v>6.2</v>
      </c>
      <c r="K126" s="10" t="n">
        <v>267.03</v>
      </c>
      <c r="L126" s="10" t="n">
        <v>0</v>
      </c>
      <c r="M126" s="5" t="inlineStr">
        <is>
          <t>Diesel S10</t>
        </is>
      </c>
      <c r="N126" s="22" t="inlineStr">
        <is>
          <t>Auto Posto Shell Santa Tecla (Bagé)</t>
        </is>
      </c>
      <c r="O126" s="5" t="inlineStr">
        <is>
          <t>Bagé</t>
        </is>
      </c>
      <c r="P126" s="22" t="inlineStr">
        <is>
          <t>Sd PM Souza</t>
        </is>
      </c>
      <c r="Q126" s="22" t="inlineStr">
        <is>
          <t>Primeiro registro do período (sem odômetro anterior para cálculo)</t>
        </is>
      </c>
    </row>
    <row r="127">
      <c r="A127" s="11" t="inlineStr">
        <is>
          <t>2026-08-22 10:16</t>
        </is>
      </c>
      <c r="B127" s="11" t="inlineStr">
        <is>
          <t>BM-13100</t>
        </is>
      </c>
      <c r="C127" s="11" t="inlineStr">
        <is>
          <t>JBG9A87</t>
        </is>
      </c>
      <c r="D127" s="24" t="inlineStr">
        <is>
          <t>Toyota Hilux 4x4</t>
        </is>
      </c>
      <c r="E127" s="25" t="n">
        <v>68791</v>
      </c>
      <c r="F127" s="26" t="inlineStr">
        <is>
          <t>-</t>
        </is>
      </c>
      <c r="G127" s="25" t="n">
        <v>0</v>
      </c>
      <c r="H127" s="15" t="n">
        <v>43.07</v>
      </c>
      <c r="I127" s="15" t="n">
        <v>0</v>
      </c>
      <c r="J127" s="16" t="n">
        <v>6.2</v>
      </c>
      <c r="K127" s="16" t="n">
        <v>267.03</v>
      </c>
      <c r="L127" s="16" t="n">
        <v>0</v>
      </c>
      <c r="M127" s="11" t="inlineStr">
        <is>
          <t>Diesel S10</t>
        </is>
      </c>
      <c r="N127" s="24" t="inlineStr">
        <is>
          <t>Auto Posto Shell Santa Tecla (Bagé)</t>
        </is>
      </c>
      <c r="O127" s="11" t="inlineStr">
        <is>
          <t>Bagé</t>
        </is>
      </c>
      <c r="P127" s="24" t="inlineStr">
        <is>
          <t>Sd PM Souza</t>
        </is>
      </c>
      <c r="Q127" s="24" t="inlineStr">
        <is>
          <t>Primeiro registro do período (sem odômetro anterior para cálculo)</t>
        </is>
      </c>
    </row>
    <row r="128">
      <c r="A128" s="5" t="inlineStr">
        <is>
          <t>2026-08-22 10:16</t>
        </is>
      </c>
      <c r="B128" s="5" t="inlineStr">
        <is>
          <t>BM-12451</t>
        </is>
      </c>
      <c r="C128" s="5" t="inlineStr">
        <is>
          <t>IXO8A15</t>
        </is>
      </c>
      <c r="D128" s="22" t="inlineStr">
        <is>
          <t>Renault Duster 1.6</t>
        </is>
      </c>
      <c r="E128" s="23" t="n">
        <v>51847</v>
      </c>
      <c r="F128" s="23" t="n">
        <v>51495</v>
      </c>
      <c r="G128" s="23" t="n">
        <v>352</v>
      </c>
      <c r="H128" s="9" t="n">
        <v>40.33</v>
      </c>
      <c r="I128" s="9" t="n">
        <v>8.73</v>
      </c>
      <c r="J128" s="10" t="n">
        <v>6.26</v>
      </c>
      <c r="K128" s="10" t="n">
        <v>252.47</v>
      </c>
      <c r="L128" s="10" t="n">
        <v>0.72</v>
      </c>
      <c r="M128" s="5" t="inlineStr">
        <is>
          <t>Gasolina Comum</t>
        </is>
      </c>
      <c r="N128" s="22" t="inlineStr">
        <is>
          <t>Auto Posto Shell Santa Tecla (Bagé)</t>
        </is>
      </c>
      <c r="O128" s="5" t="inlineStr">
        <is>
          <t>Bagé</t>
        </is>
      </c>
      <c r="P128" s="22" t="inlineStr">
        <is>
          <t>Sd PM Santos</t>
        </is>
      </c>
      <c r="Q128" s="22" t="inlineStr"/>
    </row>
    <row r="129">
      <c r="A129" s="11" t="inlineStr">
        <is>
          <t>2026-08-21 08:47</t>
        </is>
      </c>
      <c r="B129" s="11" t="inlineStr">
        <is>
          <t>BM-14200</t>
        </is>
      </c>
      <c r="C129" s="11" t="inlineStr">
        <is>
          <t>JCY4B11</t>
        </is>
      </c>
      <c r="D129" s="24" t="inlineStr">
        <is>
          <t>46º BPM</t>
        </is>
      </c>
      <c r="E129" s="25" t="n">
        <v>31518</v>
      </c>
      <c r="F129" s="26" t="inlineStr">
        <is>
          <t>-</t>
        </is>
      </c>
      <c r="G129" s="25" t="n">
        <v>0</v>
      </c>
      <c r="H129" s="15" t="n">
        <v>50.06</v>
      </c>
      <c r="I129" s="15" t="n">
        <v>0</v>
      </c>
      <c r="J129" s="16" t="n">
        <v>6.35</v>
      </c>
      <c r="K129" s="16" t="n">
        <v>317.88</v>
      </c>
      <c r="L129" s="16" t="n">
        <v>0</v>
      </c>
      <c r="M129" s="11" t="inlineStr">
        <is>
          <t>Gasolina Aditivada</t>
        </is>
      </c>
      <c r="N129" s="24" t="inlineStr">
        <is>
          <t>Posto Ipiranga Tiaraju (Bagé)</t>
        </is>
      </c>
      <c r="O129" s="11" t="inlineStr">
        <is>
          <t>Bagé</t>
        </is>
      </c>
      <c r="P129" s="24" t="inlineStr">
        <is>
          <t>Sd PM Rodrigues</t>
        </is>
      </c>
      <c r="Q129" s="24" t="inlineStr">
        <is>
          <t>Primeiro registro do período (sem odômetro anterior para cálculo)</t>
        </is>
      </c>
    </row>
    <row r="130">
      <c r="A130" s="5" t="inlineStr">
        <is>
          <t>2026-08-21 08:47</t>
        </is>
      </c>
      <c r="B130" s="5" t="inlineStr">
        <is>
          <t>BM-14200</t>
        </is>
      </c>
      <c r="C130" s="5" t="inlineStr">
        <is>
          <t>JCY4B11</t>
        </is>
      </c>
      <c r="D130" s="22" t="inlineStr">
        <is>
          <t>Toyota Corolla 2.0</t>
        </is>
      </c>
      <c r="E130" s="23" t="n">
        <v>31518</v>
      </c>
      <c r="F130" s="27" t="inlineStr">
        <is>
          <t>-</t>
        </is>
      </c>
      <c r="G130" s="23" t="n">
        <v>0</v>
      </c>
      <c r="H130" s="9" t="n">
        <v>50.06</v>
      </c>
      <c r="I130" s="9" t="n">
        <v>0</v>
      </c>
      <c r="J130" s="10" t="n">
        <v>6.35</v>
      </c>
      <c r="K130" s="10" t="n">
        <v>317.88</v>
      </c>
      <c r="L130" s="10" t="n">
        <v>0</v>
      </c>
      <c r="M130" s="5" t="inlineStr">
        <is>
          <t>Gasolina Aditivada</t>
        </is>
      </c>
      <c r="N130" s="22" t="inlineStr">
        <is>
          <t>Posto Ipiranga Tiaraju (Bagé)</t>
        </is>
      </c>
      <c r="O130" s="5" t="inlineStr">
        <is>
          <t>Bagé</t>
        </is>
      </c>
      <c r="P130" s="22" t="inlineStr">
        <is>
          <t>Sd PM Rodrigues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2026-08-21 08:47</t>
        </is>
      </c>
      <c r="B131" s="11" t="inlineStr">
        <is>
          <t>BM-12451</t>
        </is>
      </c>
      <c r="C131" s="11" t="inlineStr">
        <is>
          <t>IXO8A15</t>
        </is>
      </c>
      <c r="D131" s="24" t="inlineStr">
        <is>
          <t>Renault Duster 1.6</t>
        </is>
      </c>
      <c r="E131" s="25" t="n">
        <v>51495</v>
      </c>
      <c r="F131" s="26" t="inlineStr">
        <is>
          <t>-</t>
        </is>
      </c>
      <c r="G131" s="25" t="n">
        <v>0</v>
      </c>
      <c r="H131" s="15" t="n">
        <v>37.69</v>
      </c>
      <c r="I131" s="15" t="n">
        <v>0</v>
      </c>
      <c r="J131" s="16" t="n">
        <v>6.11</v>
      </c>
      <c r="K131" s="16" t="n">
        <v>230.29</v>
      </c>
      <c r="L131" s="16" t="n">
        <v>0</v>
      </c>
      <c r="M131" s="11" t="inlineStr">
        <is>
          <t>Gasolina Comum</t>
        </is>
      </c>
      <c r="N131" s="24" t="inlineStr">
        <is>
          <t>Posto da Guarnição Militar Bagé</t>
        </is>
      </c>
      <c r="O131" s="11" t="inlineStr">
        <is>
          <t>Bagé</t>
        </is>
      </c>
      <c r="P131" s="24" t="inlineStr">
        <is>
          <t>Sd PM Ferreira</t>
        </is>
      </c>
      <c r="Q131" s="24" t="inlineStr">
        <is>
          <t>Primeiro registro do período (sem odômetro anterior para cálculo)</t>
        </is>
      </c>
    </row>
    <row r="132">
      <c r="A132" s="5" t="inlineStr">
        <is>
          <t>2026-08-20 13:46</t>
        </is>
      </c>
      <c r="B132" s="5" t="inlineStr">
        <is>
          <t>BM-15010</t>
        </is>
      </c>
      <c r="C132" s="5" t="inlineStr">
        <is>
          <t>JZZ7C34</t>
        </is>
      </c>
      <c r="D132" s="22" t="inlineStr">
        <is>
          <t>Chevrolet Spin 1.8</t>
        </is>
      </c>
      <c r="E132" s="23" t="n">
        <v>88621</v>
      </c>
      <c r="F132" s="27" t="inlineStr">
        <is>
          <t>-</t>
        </is>
      </c>
      <c r="G132" s="23" t="n">
        <v>0</v>
      </c>
      <c r="H132" s="9" t="n">
        <v>35.37</v>
      </c>
      <c r="I132" s="9" t="n">
        <v>0</v>
      </c>
      <c r="J132" s="10" t="n">
        <v>6.2</v>
      </c>
      <c r="K132" s="10" t="n">
        <v>219.29</v>
      </c>
      <c r="L132" s="10" t="n">
        <v>0</v>
      </c>
      <c r="M132" s="5" t="inlineStr">
        <is>
          <t>Gasolina Comum</t>
        </is>
      </c>
      <c r="N132" s="22" t="inlineStr">
        <is>
          <t>Posto da Guarnição Militar Bagé</t>
        </is>
      </c>
      <c r="O132" s="5" t="inlineStr">
        <is>
          <t>Bagé</t>
        </is>
      </c>
      <c r="P132" s="22" t="inlineStr">
        <is>
          <t>Sd PM Santos</t>
        </is>
      </c>
      <c r="Q132" s="22" t="inlineStr">
        <is>
          <t>Primeiro registro do período (sem odômetro anterior para cálculo)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12" customWidth="1" min="9" max="9"/>
    <col width="36" customWidth="1" min="10" max="10"/>
  </cols>
  <sheetData>
    <row r="1" ht="25" customHeight="1">
      <c r="A1" s="28" t="inlineStr">
        <is>
          <t>Data / Hora</t>
        </is>
      </c>
      <c r="B1" s="28" t="inlineStr">
        <is>
          <t>Prefixo</t>
        </is>
      </c>
      <c r="C1" s="28" t="inlineStr">
        <is>
          <t>Placa</t>
        </is>
      </c>
      <c r="D1" s="28" t="inlineStr">
        <is>
          <t>Odômetro</t>
        </is>
      </c>
      <c r="E1" s="28" t="inlineStr">
        <is>
          <t>Km Anterior</t>
        </is>
      </c>
      <c r="F1" s="28" t="inlineStr">
        <is>
          <t>Km Rodado</t>
        </is>
      </c>
      <c r="G1" s="28" t="inlineStr">
        <is>
          <t>Litros</t>
        </is>
      </c>
      <c r="H1" s="28" t="inlineStr">
        <is>
          <t>Consumo (km/l)</t>
        </is>
      </c>
      <c r="I1" s="28" t="inlineStr">
        <is>
          <t>Posto</t>
        </is>
      </c>
      <c r="J1" s="28" t="inlineStr">
        <is>
          <t>Motivo do Alerta / Inconsistência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2026-09-23T19:09:55Z</dcterms:created>
  <dcterms:modified xsi:type="dcterms:W3CDTF">2026-09-23T19:09:56Z</dcterms:modified>
</cp:coreProperties>
</file>