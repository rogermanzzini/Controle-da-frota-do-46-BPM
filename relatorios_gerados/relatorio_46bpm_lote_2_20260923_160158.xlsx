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0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1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16:01</t>
        </is>
      </c>
    </row>
    <row r="3"/>
    <row r="4">
      <c r="B4" s="3" t="inlineStr">
        <is>
          <t>Viaturas Monitoradas
3 vtrs</t>
        </is>
      </c>
      <c r="E4" s="3" t="inlineStr">
        <is>
          <t>Km Total Rodado
11,264.0 km</t>
        </is>
      </c>
      <c r="H4" s="3" t="inlineStr">
        <is>
          <t>Litros Abastecidos
1,347.61 L</t>
        </is>
      </c>
      <c r="K4" s="3" t="inlineStr">
        <is>
          <t>Consumo Médio Geral
9.29 km/l</t>
        </is>
      </c>
      <c r="N4" s="3" t="inlineStr">
        <is>
          <t>Gasto Total (R$)
R$ 8,407.68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BM-12450</t>
        </is>
      </c>
      <c r="B9" s="5" t="inlineStr">
        <is>
          <t>IXO8A12</t>
        </is>
      </c>
      <c r="C9" s="6" t="inlineStr">
        <is>
          <t>46º BPM</t>
        </is>
      </c>
      <c r="D9" s="5" t="inlineStr">
        <is>
          <t>46º BPM - Bagé</t>
        </is>
      </c>
      <c r="E9" s="7" t="n">
        <v>12</v>
      </c>
      <c r="F9" s="8" t="n">
        <v>42541</v>
      </c>
      <c r="G9" s="8" t="n">
        <v>46667</v>
      </c>
      <c r="H9" s="8" t="n">
        <v>4126</v>
      </c>
      <c r="I9" s="9" t="n">
        <v>530.6</v>
      </c>
      <c r="J9" s="9" t="n">
        <v>8.449999999999999</v>
      </c>
      <c r="K9" s="10" t="n">
        <v>3297.65</v>
      </c>
      <c r="L9" s="10" t="n">
        <v>0.8</v>
      </c>
      <c r="M9" s="7" t="n">
        <v>0</v>
      </c>
    </row>
    <row r="10">
      <c r="A10" s="11" t="inlineStr">
        <is>
          <t>BM-13100</t>
        </is>
      </c>
      <c r="B10" s="11" t="inlineStr">
        <is>
          <t>JBG9A87</t>
        </is>
      </c>
      <c r="C10" s="12" t="inlineStr">
        <is>
          <t>46º BPM</t>
        </is>
      </c>
      <c r="D10" s="11" t="inlineStr">
        <is>
          <t>46º BPM - Bagé</t>
        </is>
      </c>
      <c r="E10" s="13" t="n">
        <v>10</v>
      </c>
      <c r="F10" s="14" t="n">
        <v>68791</v>
      </c>
      <c r="G10" s="14" t="n">
        <v>72013</v>
      </c>
      <c r="H10" s="14" t="n">
        <v>3222</v>
      </c>
      <c r="I10" s="15" t="n">
        <v>388.2</v>
      </c>
      <c r="J10" s="15" t="n">
        <v>9.34</v>
      </c>
      <c r="K10" s="16" t="n">
        <v>2364.11</v>
      </c>
      <c r="L10" s="16" t="n">
        <v>0.73</v>
      </c>
      <c r="M10" s="13" t="n">
        <v>0</v>
      </c>
    </row>
    <row r="11">
      <c r="A11" s="5" t="inlineStr">
        <is>
          <t>BM-14200</t>
        </is>
      </c>
      <c r="B11" s="5" t="inlineStr">
        <is>
          <t>JCY4B11</t>
        </is>
      </c>
      <c r="C11" s="6" t="inlineStr">
        <is>
          <t>46º BPM</t>
        </is>
      </c>
      <c r="D11" s="5" t="inlineStr">
        <is>
          <t>46º BPM - Bagé</t>
        </is>
      </c>
      <c r="E11" s="7" t="n">
        <v>10</v>
      </c>
      <c r="F11" s="8" t="n">
        <v>31518</v>
      </c>
      <c r="G11" s="8" t="n">
        <v>35434</v>
      </c>
      <c r="H11" s="8" t="n">
        <v>3916</v>
      </c>
      <c r="I11" s="9" t="n">
        <v>428.81</v>
      </c>
      <c r="J11" s="9" t="n">
        <v>10.34</v>
      </c>
      <c r="K11" s="10" t="n">
        <v>2745.92</v>
      </c>
      <c r="L11" s="10" t="n">
        <v>0.7</v>
      </c>
      <c r="M11" s="7" t="n">
        <v>0</v>
      </c>
    </row>
    <row r="12">
      <c r="A12" s="17" t="inlineStr">
        <is>
          <t>TOTAL GERAL</t>
        </is>
      </c>
      <c r="E12" s="18">
        <f>SUM(E9:E11)</f>
        <v/>
      </c>
      <c r="H12" s="19">
        <f>SUM(H9:H11)</f>
        <v/>
      </c>
      <c r="I12" s="20">
        <f>SUM(I9:I11)</f>
        <v/>
      </c>
      <c r="J12" s="20">
        <f>IF(I12&gt;0, H12/I12, 0)</f>
        <v/>
      </c>
      <c r="K12" s="21">
        <f>SUM(K9:K11)</f>
        <v/>
      </c>
      <c r="L12" s="21">
        <f>IF(H12&gt;0, K12/H12, 0)</f>
        <v/>
      </c>
      <c r="M12" s="18">
        <f>SUM(M9:M11)</f>
        <v/>
      </c>
    </row>
  </sheetData>
  <mergeCells count="6">
    <mergeCell ref="N4:O5"/>
    <mergeCell ref="E4:F5"/>
    <mergeCell ref="H4:I5"/>
    <mergeCell ref="K4:L5"/>
    <mergeCell ref="A12:D12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1" customWidth="1" min="13" max="13"/>
    <col width="35" customWidth="1" min="14" max="14"/>
    <col width="11" customWidth="1" min="15" max="15"/>
    <col width="18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2026-08-23 03:49</t>
        </is>
      </c>
      <c r="B2" s="5" t="inlineStr">
        <is>
          <t>BM-12450</t>
        </is>
      </c>
      <c r="C2" s="5" t="inlineStr">
        <is>
          <t>IXO8A12</t>
        </is>
      </c>
      <c r="D2" s="22" t="inlineStr">
        <is>
          <t>46º BPM</t>
        </is>
      </c>
      <c r="E2" s="23" t="n">
        <v>42541</v>
      </c>
      <c r="F2" s="24" t="inlineStr">
        <is>
          <t>-</t>
        </is>
      </c>
      <c r="G2" s="23" t="n">
        <v>0</v>
      </c>
      <c r="H2" s="9" t="n">
        <v>42.22</v>
      </c>
      <c r="I2" s="9" t="n">
        <v>0</v>
      </c>
      <c r="J2" s="10" t="n">
        <v>6.27</v>
      </c>
      <c r="K2" s="10" t="n">
        <v>264.72</v>
      </c>
      <c r="L2" s="10" t="n">
        <v>0</v>
      </c>
      <c r="M2" s="5" t="inlineStr">
        <is>
          <t>Gasolina Comum</t>
        </is>
      </c>
      <c r="N2" s="22" t="inlineStr">
        <is>
          <t>Posto da Guarnição Militar Bagé</t>
        </is>
      </c>
      <c r="O2" s="5" t="inlineStr">
        <is>
          <t>Bagé</t>
        </is>
      </c>
      <c r="P2" s="22" t="inlineStr">
        <is>
          <t>Sd PM Rodrigues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2026-08-26 13:33</t>
        </is>
      </c>
      <c r="B3" s="11" t="inlineStr">
        <is>
          <t>BM-12450</t>
        </is>
      </c>
      <c r="C3" s="11" t="inlineStr">
        <is>
          <t>IXO8A12</t>
        </is>
      </c>
      <c r="D3" s="25" t="inlineStr">
        <is>
          <t>46º BPM</t>
        </is>
      </c>
      <c r="E3" s="26" t="n">
        <v>42854</v>
      </c>
      <c r="F3" s="26" t="n">
        <v>42541</v>
      </c>
      <c r="G3" s="26" t="n">
        <v>313</v>
      </c>
      <c r="H3" s="15" t="n">
        <v>36.93</v>
      </c>
      <c r="I3" s="15" t="n">
        <v>8.48</v>
      </c>
      <c r="J3" s="16" t="n">
        <v>6.08</v>
      </c>
      <c r="K3" s="16" t="n">
        <v>224.53</v>
      </c>
      <c r="L3" s="16" t="n">
        <v>0.72</v>
      </c>
      <c r="M3" s="11" t="inlineStr">
        <is>
          <t>Gasolina Comum</t>
        </is>
      </c>
      <c r="N3" s="25" t="inlineStr">
        <is>
          <t>Posto Ipiranga Tiaraju (Bagé)</t>
        </is>
      </c>
      <c r="O3" s="11" t="inlineStr">
        <is>
          <t>Bagé</t>
        </is>
      </c>
      <c r="P3" s="25" t="inlineStr">
        <is>
          <t>Sd PM Santos</t>
        </is>
      </c>
      <c r="Q3" s="25" t="inlineStr"/>
    </row>
    <row r="4">
      <c r="A4" s="5" t="inlineStr">
        <is>
          <t>2026-08-27 01:19</t>
        </is>
      </c>
      <c r="B4" s="5" t="inlineStr">
        <is>
          <t>BM-12450</t>
        </is>
      </c>
      <c r="C4" s="5" t="inlineStr">
        <is>
          <t>IXO8A12</t>
        </is>
      </c>
      <c r="D4" s="22" t="inlineStr">
        <is>
          <t>46º BPM</t>
        </is>
      </c>
      <c r="E4" s="23" t="n">
        <v>43250</v>
      </c>
      <c r="F4" s="23" t="n">
        <v>42854</v>
      </c>
      <c r="G4" s="23" t="n">
        <v>396</v>
      </c>
      <c r="H4" s="9" t="n">
        <v>48.32</v>
      </c>
      <c r="I4" s="9" t="n">
        <v>8.199999999999999</v>
      </c>
      <c r="J4" s="10" t="n">
        <v>6.31</v>
      </c>
      <c r="K4" s="10" t="n">
        <v>304.9</v>
      </c>
      <c r="L4" s="10" t="n">
        <v>0.77</v>
      </c>
      <c r="M4" s="5" t="inlineStr">
        <is>
          <t>Gasolina Comum</t>
        </is>
      </c>
      <c r="N4" s="22" t="inlineStr">
        <is>
          <t>Auto Posto Shell Santa Tecla (Bagé)</t>
        </is>
      </c>
      <c r="O4" s="5" t="inlineStr">
        <is>
          <t>Bagé</t>
        </is>
      </c>
      <c r="P4" s="22" t="inlineStr">
        <is>
          <t>Sd PM Oliveira</t>
        </is>
      </c>
      <c r="Q4" s="22" t="inlineStr"/>
    </row>
    <row r="5">
      <c r="A5" s="11" t="inlineStr">
        <is>
          <t>2026-08-29 11:42</t>
        </is>
      </c>
      <c r="B5" s="11" t="inlineStr">
        <is>
          <t>BM-12450</t>
        </is>
      </c>
      <c r="C5" s="11" t="inlineStr">
        <is>
          <t>IXO8A12</t>
        </is>
      </c>
      <c r="D5" s="25" t="inlineStr">
        <is>
          <t>46º BPM</t>
        </is>
      </c>
      <c r="E5" s="26" t="n">
        <v>43620</v>
      </c>
      <c r="F5" s="26" t="n">
        <v>43250</v>
      </c>
      <c r="G5" s="26" t="n">
        <v>370</v>
      </c>
      <c r="H5" s="15" t="n">
        <v>45.37</v>
      </c>
      <c r="I5" s="15" t="n">
        <v>8.16</v>
      </c>
      <c r="J5" s="16" t="n">
        <v>6.13</v>
      </c>
      <c r="K5" s="16" t="n">
        <v>278.12</v>
      </c>
      <c r="L5" s="16" t="n">
        <v>0.75</v>
      </c>
      <c r="M5" s="11" t="inlineStr">
        <is>
          <t>Gasolina Comum</t>
        </is>
      </c>
      <c r="N5" s="25" t="inlineStr">
        <is>
          <t>Posto Petrobras Centro Bagé</t>
        </is>
      </c>
      <c r="O5" s="11" t="inlineStr">
        <is>
          <t>Bagé</t>
        </is>
      </c>
      <c r="P5" s="25" t="inlineStr">
        <is>
          <t>Sd PM Santos</t>
        </is>
      </c>
      <c r="Q5" s="25" t="inlineStr"/>
    </row>
    <row r="6">
      <c r="A6" s="5" t="inlineStr">
        <is>
          <t>2026-08-31 06:38</t>
        </is>
      </c>
      <c r="B6" s="5" t="inlineStr">
        <is>
          <t>BM-12450</t>
        </is>
      </c>
      <c r="C6" s="5" t="inlineStr">
        <is>
          <t>IXO8A12</t>
        </is>
      </c>
      <c r="D6" s="22" t="inlineStr">
        <is>
          <t>46º BPM</t>
        </is>
      </c>
      <c r="E6" s="23" t="n">
        <v>43994</v>
      </c>
      <c r="F6" s="23" t="n">
        <v>43620</v>
      </c>
      <c r="G6" s="23" t="n">
        <v>374</v>
      </c>
      <c r="H6" s="9" t="n">
        <v>44.67</v>
      </c>
      <c r="I6" s="9" t="n">
        <v>8.369999999999999</v>
      </c>
      <c r="J6" s="10" t="n">
        <v>6.33</v>
      </c>
      <c r="K6" s="10" t="n">
        <v>282.76</v>
      </c>
      <c r="L6" s="10" t="n">
        <v>0.76</v>
      </c>
      <c r="M6" s="5" t="inlineStr">
        <is>
          <t>Gasolina Comum</t>
        </is>
      </c>
      <c r="N6" s="22" t="inlineStr">
        <is>
          <t>Auto Posto Shell Santa Tecla (Bagé)</t>
        </is>
      </c>
      <c r="O6" s="5" t="inlineStr">
        <is>
          <t>Bagé</t>
        </is>
      </c>
      <c r="P6" s="22" t="inlineStr">
        <is>
          <t>Sd PM Santos</t>
        </is>
      </c>
      <c r="Q6" s="22" t="inlineStr"/>
    </row>
    <row r="7">
      <c r="A7" s="11" t="inlineStr">
        <is>
          <t>2026-09-04 07:07</t>
        </is>
      </c>
      <c r="B7" s="11" t="inlineStr">
        <is>
          <t>BM-12450</t>
        </is>
      </c>
      <c r="C7" s="11" t="inlineStr">
        <is>
          <t>IXO8A12</t>
        </is>
      </c>
      <c r="D7" s="25" t="inlineStr">
        <is>
          <t>46º BPM</t>
        </is>
      </c>
      <c r="E7" s="26" t="n">
        <v>44324</v>
      </c>
      <c r="F7" s="26" t="n">
        <v>43994</v>
      </c>
      <c r="G7" s="26" t="n">
        <v>330</v>
      </c>
      <c r="H7" s="15" t="n">
        <v>40.53</v>
      </c>
      <c r="I7" s="15" t="n">
        <v>8.140000000000001</v>
      </c>
      <c r="J7" s="16" t="n">
        <v>6.24</v>
      </c>
      <c r="K7" s="16" t="n">
        <v>252.91</v>
      </c>
      <c r="L7" s="16" t="n">
        <v>0.77</v>
      </c>
      <c r="M7" s="11" t="inlineStr">
        <is>
          <t>Gasolina Comum</t>
        </is>
      </c>
      <c r="N7" s="25" t="inlineStr">
        <is>
          <t>Posto Ipiranga Tiaraju (Bagé)</t>
        </is>
      </c>
      <c r="O7" s="11" t="inlineStr">
        <is>
          <t>Bagé</t>
        </is>
      </c>
      <c r="P7" s="25" t="inlineStr">
        <is>
          <t>Sd PM Souza</t>
        </is>
      </c>
      <c r="Q7" s="25" t="inlineStr"/>
    </row>
    <row r="8">
      <c r="A8" s="5" t="inlineStr">
        <is>
          <t>2026-09-07 09:34</t>
        </is>
      </c>
      <c r="B8" s="5" t="inlineStr">
        <is>
          <t>BM-12450</t>
        </is>
      </c>
      <c r="C8" s="5" t="inlineStr">
        <is>
          <t>IXO8A12</t>
        </is>
      </c>
      <c r="D8" s="22" t="inlineStr">
        <is>
          <t>46º BPM</t>
        </is>
      </c>
      <c r="E8" s="23" t="n">
        <v>44674</v>
      </c>
      <c r="F8" s="23" t="n">
        <v>44324</v>
      </c>
      <c r="G8" s="23" t="n">
        <v>350</v>
      </c>
      <c r="H8" s="9" t="n">
        <v>41.15</v>
      </c>
      <c r="I8" s="9" t="n">
        <v>8.51</v>
      </c>
      <c r="J8" s="10" t="n">
        <v>6.12</v>
      </c>
      <c r="K8" s="10" t="n">
        <v>251.84</v>
      </c>
      <c r="L8" s="10" t="n">
        <v>0.72</v>
      </c>
      <c r="M8" s="5" t="inlineStr">
        <is>
          <t>Gasolina Comum</t>
        </is>
      </c>
      <c r="N8" s="22" t="inlineStr">
        <is>
          <t>Posto Petrobras Centro Bagé</t>
        </is>
      </c>
      <c r="O8" s="5" t="inlineStr">
        <is>
          <t>Bagé</t>
        </is>
      </c>
      <c r="P8" s="22" t="inlineStr">
        <is>
          <t>Sd PM Souza</t>
        </is>
      </c>
      <c r="Q8" s="22" t="inlineStr"/>
    </row>
    <row r="9">
      <c r="A9" s="11" t="inlineStr">
        <is>
          <t>2026-09-10 13:15</t>
        </is>
      </c>
      <c r="B9" s="11" t="inlineStr">
        <is>
          <t>BM-12450</t>
        </is>
      </c>
      <c r="C9" s="11" t="inlineStr">
        <is>
          <t>IXO8A12</t>
        </is>
      </c>
      <c r="D9" s="25" t="inlineStr">
        <is>
          <t>46º BPM</t>
        </is>
      </c>
      <c r="E9" s="26" t="n">
        <v>45136</v>
      </c>
      <c r="F9" s="26" t="n">
        <v>44674</v>
      </c>
      <c r="G9" s="26" t="n">
        <v>462</v>
      </c>
      <c r="H9" s="15" t="n">
        <v>51.43</v>
      </c>
      <c r="I9" s="15" t="n">
        <v>8.98</v>
      </c>
      <c r="J9" s="16" t="n">
        <v>6.24</v>
      </c>
      <c r="K9" s="16" t="n">
        <v>320.92</v>
      </c>
      <c r="L9" s="16" t="n">
        <v>0.6899999999999999</v>
      </c>
      <c r="M9" s="11" t="inlineStr">
        <is>
          <t>Gasolina Comum</t>
        </is>
      </c>
      <c r="N9" s="25" t="inlineStr">
        <is>
          <t>Posto da Guarnição Militar Bagé</t>
        </is>
      </c>
      <c r="O9" s="11" t="inlineStr">
        <is>
          <t>Bagé</t>
        </is>
      </c>
      <c r="P9" s="25" t="inlineStr">
        <is>
          <t>Sd PM Silva</t>
        </is>
      </c>
      <c r="Q9" s="25" t="inlineStr"/>
    </row>
    <row r="10">
      <c r="A10" s="5" t="inlineStr">
        <is>
          <t>2026-09-12 02:18</t>
        </is>
      </c>
      <c r="B10" s="5" t="inlineStr">
        <is>
          <t>BM-12450</t>
        </is>
      </c>
      <c r="C10" s="5" t="inlineStr">
        <is>
          <t>IXO8A12</t>
        </is>
      </c>
      <c r="D10" s="22" t="inlineStr">
        <is>
          <t>46º BPM</t>
        </is>
      </c>
      <c r="E10" s="23" t="n">
        <v>45551</v>
      </c>
      <c r="F10" s="23" t="n">
        <v>45136</v>
      </c>
      <c r="G10" s="23" t="n">
        <v>415</v>
      </c>
      <c r="H10" s="9" t="n">
        <v>50</v>
      </c>
      <c r="I10" s="9" t="n">
        <v>8.300000000000001</v>
      </c>
      <c r="J10" s="10" t="n">
        <v>6.15</v>
      </c>
      <c r="K10" s="10" t="n">
        <v>307.5</v>
      </c>
      <c r="L10" s="10" t="n">
        <v>0.74</v>
      </c>
      <c r="M10" s="5" t="inlineStr">
        <is>
          <t>Gasolina Comum</t>
        </is>
      </c>
      <c r="N10" s="22" t="inlineStr">
        <is>
          <t>Auto Posto Shell Santa Tecla (Bagé)</t>
        </is>
      </c>
      <c r="O10" s="5" t="inlineStr">
        <is>
          <t>Bagé</t>
        </is>
      </c>
      <c r="P10" s="22" t="inlineStr">
        <is>
          <t>Sd PM Santos</t>
        </is>
      </c>
      <c r="Q10" s="22" t="inlineStr"/>
    </row>
    <row r="11">
      <c r="A11" s="11" t="inlineStr">
        <is>
          <t>2026-09-14 12:01</t>
        </is>
      </c>
      <c r="B11" s="11" t="inlineStr">
        <is>
          <t>BM-12450</t>
        </is>
      </c>
      <c r="C11" s="11" t="inlineStr">
        <is>
          <t>IXO8A12</t>
        </is>
      </c>
      <c r="D11" s="25" t="inlineStr">
        <is>
          <t>46º BPM</t>
        </is>
      </c>
      <c r="E11" s="26" t="n">
        <v>45866</v>
      </c>
      <c r="F11" s="26" t="n">
        <v>45551</v>
      </c>
      <c r="G11" s="26" t="n">
        <v>315</v>
      </c>
      <c r="H11" s="15" t="n">
        <v>36.99</v>
      </c>
      <c r="I11" s="15" t="n">
        <v>8.52</v>
      </c>
      <c r="J11" s="16" t="n">
        <v>6.07</v>
      </c>
      <c r="K11" s="16" t="n">
        <v>224.53</v>
      </c>
      <c r="L11" s="16" t="n">
        <v>0.71</v>
      </c>
      <c r="M11" s="11" t="inlineStr">
        <is>
          <t>Gasolina Comum</t>
        </is>
      </c>
      <c r="N11" s="25" t="inlineStr">
        <is>
          <t>Posto Ipiranga Tiaraju (Bagé)</t>
        </is>
      </c>
      <c r="O11" s="11" t="inlineStr">
        <is>
          <t>Bagé</t>
        </is>
      </c>
      <c r="P11" s="25" t="inlineStr">
        <is>
          <t>Sd PM Ferreira</t>
        </is>
      </c>
      <c r="Q11" s="25" t="inlineStr"/>
    </row>
    <row r="12">
      <c r="A12" s="5" t="inlineStr">
        <is>
          <t>2026-09-15 22:47</t>
        </is>
      </c>
      <c r="B12" s="5" t="inlineStr">
        <is>
          <t>BM-12450</t>
        </is>
      </c>
      <c r="C12" s="5" t="inlineStr">
        <is>
          <t>IXO8A12</t>
        </is>
      </c>
      <c r="D12" s="22" t="inlineStr">
        <is>
          <t>46º BPM</t>
        </is>
      </c>
      <c r="E12" s="23" t="n">
        <v>46257</v>
      </c>
      <c r="F12" s="23" t="n">
        <v>45866</v>
      </c>
      <c r="G12" s="23" t="n">
        <v>391</v>
      </c>
      <c r="H12" s="9" t="n">
        <v>46.22</v>
      </c>
      <c r="I12" s="9" t="n">
        <v>8.460000000000001</v>
      </c>
      <c r="J12" s="10" t="n">
        <v>6.27</v>
      </c>
      <c r="K12" s="10" t="n">
        <v>289.8</v>
      </c>
      <c r="L12" s="10" t="n">
        <v>0.74</v>
      </c>
      <c r="M12" s="5" t="inlineStr">
        <is>
          <t>Gasolina Comum</t>
        </is>
      </c>
      <c r="N12" s="22" t="inlineStr">
        <is>
          <t>Posto da Guarnição Militar Bagé</t>
        </is>
      </c>
      <c r="O12" s="5" t="inlineStr">
        <is>
          <t>Bagé</t>
        </is>
      </c>
      <c r="P12" s="22" t="inlineStr">
        <is>
          <t>Sd PM Pereira</t>
        </is>
      </c>
      <c r="Q12" s="22" t="inlineStr"/>
    </row>
    <row r="13">
      <c r="A13" s="11" t="inlineStr">
        <is>
          <t>2026-09-22 00:43</t>
        </is>
      </c>
      <c r="B13" s="11" t="inlineStr">
        <is>
          <t>BM-12450</t>
        </is>
      </c>
      <c r="C13" s="11" t="inlineStr">
        <is>
          <t>IXO8A12</t>
        </is>
      </c>
      <c r="D13" s="25" t="inlineStr">
        <is>
          <t>46º BPM</t>
        </is>
      </c>
      <c r="E13" s="26" t="n">
        <v>46667</v>
      </c>
      <c r="F13" s="26" t="n">
        <v>46257</v>
      </c>
      <c r="G13" s="26" t="n">
        <v>410</v>
      </c>
      <c r="H13" s="15" t="n">
        <v>46.77</v>
      </c>
      <c r="I13" s="15" t="n">
        <v>8.77</v>
      </c>
      <c r="J13" s="16" t="n">
        <v>6.31</v>
      </c>
      <c r="K13" s="16" t="n">
        <v>295.12</v>
      </c>
      <c r="L13" s="16" t="n">
        <v>0.72</v>
      </c>
      <c r="M13" s="11" t="inlineStr">
        <is>
          <t>Gasolina Comum</t>
        </is>
      </c>
      <c r="N13" s="25" t="inlineStr">
        <is>
          <t>Posto da Guarnição Militar Bagé</t>
        </is>
      </c>
      <c r="O13" s="11" t="inlineStr">
        <is>
          <t>Bagé</t>
        </is>
      </c>
      <c r="P13" s="25" t="inlineStr">
        <is>
          <t>Sd PM Souza</t>
        </is>
      </c>
      <c r="Q13" s="25" t="inlineStr"/>
    </row>
    <row r="14">
      <c r="A14" s="5" t="inlineStr">
        <is>
          <t>2026-08-22 10:16</t>
        </is>
      </c>
      <c r="B14" s="5" t="inlineStr">
        <is>
          <t>BM-13100</t>
        </is>
      </c>
      <c r="C14" s="5" t="inlineStr">
        <is>
          <t>JBG9A87</t>
        </is>
      </c>
      <c r="D14" s="22" t="inlineStr">
        <is>
          <t>46º BPM</t>
        </is>
      </c>
      <c r="E14" s="23" t="n">
        <v>68791</v>
      </c>
      <c r="F14" s="24" t="inlineStr">
        <is>
          <t>-</t>
        </is>
      </c>
      <c r="G14" s="23" t="n">
        <v>0</v>
      </c>
      <c r="H14" s="9" t="n">
        <v>43.07</v>
      </c>
      <c r="I14" s="9" t="n">
        <v>0</v>
      </c>
      <c r="J14" s="10" t="n">
        <v>6.2</v>
      </c>
      <c r="K14" s="10" t="n">
        <v>267.03</v>
      </c>
      <c r="L14" s="10" t="n">
        <v>0</v>
      </c>
      <c r="M14" s="5" t="inlineStr">
        <is>
          <t>Diesel S10</t>
        </is>
      </c>
      <c r="N14" s="22" t="inlineStr">
        <is>
          <t>Auto Posto Shell Santa Tecla (Bagé)</t>
        </is>
      </c>
      <c r="O14" s="5" t="inlineStr">
        <is>
          <t>Bagé</t>
        </is>
      </c>
      <c r="P14" s="22" t="inlineStr">
        <is>
          <t>Sd PM Souza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2026-08-29 23:19</t>
        </is>
      </c>
      <c r="B15" s="11" t="inlineStr">
        <is>
          <t>BM-13100</t>
        </is>
      </c>
      <c r="C15" s="11" t="inlineStr">
        <is>
          <t>JBG9A87</t>
        </is>
      </c>
      <c r="D15" s="25" t="inlineStr">
        <is>
          <t>46º BPM</t>
        </is>
      </c>
      <c r="E15" s="26" t="n">
        <v>69130</v>
      </c>
      <c r="F15" s="26" t="n">
        <v>68791</v>
      </c>
      <c r="G15" s="26" t="n">
        <v>339</v>
      </c>
      <c r="H15" s="15" t="n">
        <v>37.54</v>
      </c>
      <c r="I15" s="15" t="n">
        <v>9.029999999999999</v>
      </c>
      <c r="J15" s="16" t="n">
        <v>6.06</v>
      </c>
      <c r="K15" s="16" t="n">
        <v>227.49</v>
      </c>
      <c r="L15" s="16" t="n">
        <v>0.67</v>
      </c>
      <c r="M15" s="11" t="inlineStr">
        <is>
          <t>Diesel S10</t>
        </is>
      </c>
      <c r="N15" s="25" t="inlineStr">
        <is>
          <t>Posto Petrobras Centro Bagé</t>
        </is>
      </c>
      <c r="O15" s="11" t="inlineStr">
        <is>
          <t>Bagé</t>
        </is>
      </c>
      <c r="P15" s="25" t="inlineStr">
        <is>
          <t>Sd PM Ferreira</t>
        </is>
      </c>
      <c r="Q15" s="25" t="inlineStr"/>
    </row>
    <row r="16">
      <c r="A16" s="5" t="inlineStr">
        <is>
          <t>2026-08-31 06:38</t>
        </is>
      </c>
      <c r="B16" s="5" t="inlineStr">
        <is>
          <t>BM-13100</t>
        </is>
      </c>
      <c r="C16" s="5" t="inlineStr">
        <is>
          <t>JBG9A87</t>
        </is>
      </c>
      <c r="D16" s="22" t="inlineStr">
        <is>
          <t>46º BPM</t>
        </is>
      </c>
      <c r="E16" s="23" t="n">
        <v>69473</v>
      </c>
      <c r="F16" s="23" t="n">
        <v>69130</v>
      </c>
      <c r="G16" s="23" t="n">
        <v>343</v>
      </c>
      <c r="H16" s="9" t="n">
        <v>38.19</v>
      </c>
      <c r="I16" s="9" t="n">
        <v>8.98</v>
      </c>
      <c r="J16" s="10" t="n">
        <v>6</v>
      </c>
      <c r="K16" s="10" t="n">
        <v>229.14</v>
      </c>
      <c r="L16" s="10" t="n">
        <v>0.67</v>
      </c>
      <c r="M16" s="5" t="inlineStr">
        <is>
          <t>Diesel S10</t>
        </is>
      </c>
      <c r="N16" s="22" t="inlineStr">
        <is>
          <t>Posto Petrobras Centro Bagé</t>
        </is>
      </c>
      <c r="O16" s="5" t="inlineStr">
        <is>
          <t>Bagé</t>
        </is>
      </c>
      <c r="P16" s="22" t="inlineStr">
        <is>
          <t>Sd PM Rodrigues</t>
        </is>
      </c>
      <c r="Q16" s="22" t="inlineStr"/>
    </row>
    <row r="17">
      <c r="A17" s="11" t="inlineStr">
        <is>
          <t>2026-09-03 02:11</t>
        </is>
      </c>
      <c r="B17" s="11" t="inlineStr">
        <is>
          <t>BM-13100</t>
        </is>
      </c>
      <c r="C17" s="11" t="inlineStr">
        <is>
          <t>JBG9A87</t>
        </is>
      </c>
      <c r="D17" s="25" t="inlineStr">
        <is>
          <t>46º BPM</t>
        </is>
      </c>
      <c r="E17" s="26" t="n">
        <v>69823</v>
      </c>
      <c r="F17" s="26" t="n">
        <v>69473</v>
      </c>
      <c r="G17" s="26" t="n">
        <v>350</v>
      </c>
      <c r="H17" s="15" t="n">
        <v>37.69</v>
      </c>
      <c r="I17" s="15" t="n">
        <v>9.289999999999999</v>
      </c>
      <c r="J17" s="16" t="n">
        <v>6.19</v>
      </c>
      <c r="K17" s="16" t="n">
        <v>233.3</v>
      </c>
      <c r="L17" s="16" t="n">
        <v>0.67</v>
      </c>
      <c r="M17" s="11" t="inlineStr">
        <is>
          <t>Diesel S10</t>
        </is>
      </c>
      <c r="N17" s="25" t="inlineStr">
        <is>
          <t>Posto Ipiranga Tiaraju (Bagé)</t>
        </is>
      </c>
      <c r="O17" s="11" t="inlineStr">
        <is>
          <t>Bagé</t>
        </is>
      </c>
      <c r="P17" s="25" t="inlineStr">
        <is>
          <t>Sd PM Santos</t>
        </is>
      </c>
      <c r="Q17" s="25" t="inlineStr"/>
    </row>
    <row r="18">
      <c r="A18" s="5" t="inlineStr">
        <is>
          <t>2026-09-13 09:18</t>
        </is>
      </c>
      <c r="B18" s="5" t="inlineStr">
        <is>
          <t>BM-13100</t>
        </is>
      </c>
      <c r="C18" s="5" t="inlineStr">
        <is>
          <t>JBG9A87</t>
        </is>
      </c>
      <c r="D18" s="22" t="inlineStr">
        <is>
          <t>46º BPM</t>
        </is>
      </c>
      <c r="E18" s="23" t="n">
        <v>70174</v>
      </c>
      <c r="F18" s="23" t="n">
        <v>69823</v>
      </c>
      <c r="G18" s="23" t="n">
        <v>351</v>
      </c>
      <c r="H18" s="9" t="n">
        <v>37.19</v>
      </c>
      <c r="I18" s="9" t="n">
        <v>9.44</v>
      </c>
      <c r="J18" s="10" t="n">
        <v>6.04</v>
      </c>
      <c r="K18" s="10" t="n">
        <v>224.63</v>
      </c>
      <c r="L18" s="10" t="n">
        <v>0.64</v>
      </c>
      <c r="M18" s="5" t="inlineStr">
        <is>
          <t>Diesel S10</t>
        </is>
      </c>
      <c r="N18" s="22" t="inlineStr">
        <is>
          <t>Posto Petrobras Centro Bagé</t>
        </is>
      </c>
      <c r="O18" s="5" t="inlineStr">
        <is>
          <t>Bagé</t>
        </is>
      </c>
      <c r="P18" s="22" t="inlineStr">
        <is>
          <t>Sd PM Souza</t>
        </is>
      </c>
      <c r="Q18" s="22" t="inlineStr"/>
    </row>
    <row r="19">
      <c r="A19" s="11" t="inlineStr">
        <is>
          <t>2026-09-14 12:01</t>
        </is>
      </c>
      <c r="B19" s="11" t="inlineStr">
        <is>
          <t>BM-13100</t>
        </is>
      </c>
      <c r="C19" s="11" t="inlineStr">
        <is>
          <t>JBG9A87</t>
        </is>
      </c>
      <c r="D19" s="25" t="inlineStr">
        <is>
          <t>46º BPM</t>
        </is>
      </c>
      <c r="E19" s="26" t="n">
        <v>70483</v>
      </c>
      <c r="F19" s="26" t="n">
        <v>70174</v>
      </c>
      <c r="G19" s="26" t="n">
        <v>309</v>
      </c>
      <c r="H19" s="15" t="n">
        <v>32.91</v>
      </c>
      <c r="I19" s="15" t="n">
        <v>9.390000000000001</v>
      </c>
      <c r="J19" s="16" t="n">
        <v>6.15</v>
      </c>
      <c r="K19" s="16" t="n">
        <v>202.4</v>
      </c>
      <c r="L19" s="16" t="n">
        <v>0.66</v>
      </c>
      <c r="M19" s="11" t="inlineStr">
        <is>
          <t>Diesel S10</t>
        </is>
      </c>
      <c r="N19" s="25" t="inlineStr">
        <is>
          <t>Auto Posto Shell Santa Tecla (Bagé)</t>
        </is>
      </c>
      <c r="O19" s="11" t="inlineStr">
        <is>
          <t>Bagé</t>
        </is>
      </c>
      <c r="P19" s="25" t="inlineStr">
        <is>
          <t>Sd PM Souza</t>
        </is>
      </c>
      <c r="Q19" s="25" t="inlineStr"/>
    </row>
    <row r="20">
      <c r="A20" s="5" t="inlineStr">
        <is>
          <t>2026-09-15 22:47</t>
        </is>
      </c>
      <c r="B20" s="5" t="inlineStr">
        <is>
          <t>BM-13100</t>
        </is>
      </c>
      <c r="C20" s="5" t="inlineStr">
        <is>
          <t>JBG9A87</t>
        </is>
      </c>
      <c r="D20" s="22" t="inlineStr">
        <is>
          <t>46º BPM</t>
        </is>
      </c>
      <c r="E20" s="23" t="n">
        <v>70869</v>
      </c>
      <c r="F20" s="23" t="n">
        <v>70483</v>
      </c>
      <c r="G20" s="23" t="n">
        <v>386</v>
      </c>
      <c r="H20" s="9" t="n">
        <v>41.13</v>
      </c>
      <c r="I20" s="9" t="n">
        <v>9.380000000000001</v>
      </c>
      <c r="J20" s="10" t="n">
        <v>5.99</v>
      </c>
      <c r="K20" s="10" t="n">
        <v>246.37</v>
      </c>
      <c r="L20" s="10" t="n">
        <v>0.64</v>
      </c>
      <c r="M20" s="5" t="inlineStr">
        <is>
          <t>Diesel S10</t>
        </is>
      </c>
      <c r="N20" s="22" t="inlineStr">
        <is>
          <t>Posto Petrobras Centro Bagé</t>
        </is>
      </c>
      <c r="O20" s="5" t="inlineStr">
        <is>
          <t>Bagé</t>
        </is>
      </c>
      <c r="P20" s="22" t="inlineStr">
        <is>
          <t>Sd PM Santos</t>
        </is>
      </c>
      <c r="Q20" s="22" t="inlineStr"/>
    </row>
    <row r="21">
      <c r="A21" s="11" t="inlineStr">
        <is>
          <t>2026-09-17 14:11</t>
        </is>
      </c>
      <c r="B21" s="11" t="inlineStr">
        <is>
          <t>BM-13100</t>
        </is>
      </c>
      <c r="C21" s="11" t="inlineStr">
        <is>
          <t>JBG9A87</t>
        </is>
      </c>
      <c r="D21" s="25" t="inlineStr">
        <is>
          <t>46º BPM</t>
        </is>
      </c>
      <c r="E21" s="26" t="n">
        <v>71247</v>
      </c>
      <c r="F21" s="26" t="n">
        <v>70869</v>
      </c>
      <c r="G21" s="26" t="n">
        <v>378</v>
      </c>
      <c r="H21" s="15" t="n">
        <v>41.95</v>
      </c>
      <c r="I21" s="15" t="n">
        <v>9.01</v>
      </c>
      <c r="J21" s="16" t="n">
        <v>6.09</v>
      </c>
      <c r="K21" s="16" t="n">
        <v>255.48</v>
      </c>
      <c r="L21" s="16" t="n">
        <v>0.68</v>
      </c>
      <c r="M21" s="11" t="inlineStr">
        <is>
          <t>Diesel S10</t>
        </is>
      </c>
      <c r="N21" s="25" t="inlineStr">
        <is>
          <t>Posto Petrobras Centro Bagé</t>
        </is>
      </c>
      <c r="O21" s="11" t="inlineStr">
        <is>
          <t>Bagé</t>
        </is>
      </c>
      <c r="P21" s="25" t="inlineStr">
        <is>
          <t>Sd PM Souza</t>
        </is>
      </c>
      <c r="Q21" s="25" t="inlineStr"/>
    </row>
    <row r="22">
      <c r="A22" s="5" t="inlineStr">
        <is>
          <t>2026-09-20 01:05</t>
        </is>
      </c>
      <c r="B22" s="5" t="inlineStr">
        <is>
          <t>BM-13100</t>
        </is>
      </c>
      <c r="C22" s="5" t="inlineStr">
        <is>
          <t>JBG9A87</t>
        </is>
      </c>
      <c r="D22" s="22" t="inlineStr">
        <is>
          <t>46º BPM</t>
        </is>
      </c>
      <c r="E22" s="23" t="n">
        <v>71573</v>
      </c>
      <c r="F22" s="23" t="n">
        <v>71247</v>
      </c>
      <c r="G22" s="23" t="n">
        <v>326</v>
      </c>
      <c r="H22" s="9" t="n">
        <v>33.56</v>
      </c>
      <c r="I22" s="9" t="n">
        <v>9.710000000000001</v>
      </c>
      <c r="J22" s="10" t="n">
        <v>6.01</v>
      </c>
      <c r="K22" s="10" t="n">
        <v>201.7</v>
      </c>
      <c r="L22" s="10" t="n">
        <v>0.62</v>
      </c>
      <c r="M22" s="5" t="inlineStr">
        <is>
          <t>Diesel S10</t>
        </is>
      </c>
      <c r="N22" s="22" t="inlineStr">
        <is>
          <t>Posto Ipiranga Tiaraju (Bagé)</t>
        </is>
      </c>
      <c r="O22" s="5" t="inlineStr">
        <is>
          <t>Bagé</t>
        </is>
      </c>
      <c r="P22" s="22" t="inlineStr">
        <is>
          <t>Sd PM Pereira</t>
        </is>
      </c>
      <c r="Q22" s="22" t="inlineStr"/>
    </row>
    <row r="23">
      <c r="A23" s="11" t="inlineStr">
        <is>
          <t>2026-09-21 02:37</t>
        </is>
      </c>
      <c r="B23" s="11" t="inlineStr">
        <is>
          <t>BM-13100</t>
        </is>
      </c>
      <c r="C23" s="11" t="inlineStr">
        <is>
          <t>JBG9A87</t>
        </is>
      </c>
      <c r="D23" s="25" t="inlineStr">
        <is>
          <t>46º BPM</t>
        </is>
      </c>
      <c r="E23" s="26" t="n">
        <v>72013</v>
      </c>
      <c r="F23" s="26" t="n">
        <v>71573</v>
      </c>
      <c r="G23" s="26" t="n">
        <v>440</v>
      </c>
      <c r="H23" s="15" t="n">
        <v>44.97</v>
      </c>
      <c r="I23" s="15" t="n">
        <v>9.779999999999999</v>
      </c>
      <c r="J23" s="16" t="n">
        <v>6.15</v>
      </c>
      <c r="K23" s="16" t="n">
        <v>276.57</v>
      </c>
      <c r="L23" s="16" t="n">
        <v>0.63</v>
      </c>
      <c r="M23" s="11" t="inlineStr">
        <is>
          <t>Diesel S10</t>
        </is>
      </c>
      <c r="N23" s="25" t="inlineStr">
        <is>
          <t>Posto Petrobras Centro Bagé</t>
        </is>
      </c>
      <c r="O23" s="11" t="inlineStr">
        <is>
          <t>Bagé</t>
        </is>
      </c>
      <c r="P23" s="25" t="inlineStr">
        <is>
          <t>Sd PM Souza</t>
        </is>
      </c>
      <c r="Q23" s="25" t="inlineStr"/>
    </row>
    <row r="24">
      <c r="A24" s="5" t="inlineStr">
        <is>
          <t>2026-08-21 08:47</t>
        </is>
      </c>
      <c r="B24" s="5" t="inlineStr">
        <is>
          <t>BM-14200</t>
        </is>
      </c>
      <c r="C24" s="5" t="inlineStr">
        <is>
          <t>JCY4B11</t>
        </is>
      </c>
      <c r="D24" s="22" t="inlineStr">
        <is>
          <t>46º BPM</t>
        </is>
      </c>
      <c r="E24" s="23" t="n">
        <v>31518</v>
      </c>
      <c r="F24" s="24" t="inlineStr">
        <is>
          <t>-</t>
        </is>
      </c>
      <c r="G24" s="23" t="n">
        <v>0</v>
      </c>
      <c r="H24" s="9" t="n">
        <v>50.06</v>
      </c>
      <c r="I24" s="9" t="n">
        <v>0</v>
      </c>
      <c r="J24" s="10" t="n">
        <v>6.35</v>
      </c>
      <c r="K24" s="10" t="n">
        <v>317.88</v>
      </c>
      <c r="L24" s="10" t="n">
        <v>0</v>
      </c>
      <c r="M24" s="5" t="inlineStr">
        <is>
          <t>Gasolina Aditivada</t>
        </is>
      </c>
      <c r="N24" s="22" t="inlineStr">
        <is>
          <t>Posto Ipiranga Tiaraju (Bagé)</t>
        </is>
      </c>
      <c r="O24" s="5" t="inlineStr">
        <is>
          <t>Bagé</t>
        </is>
      </c>
      <c r="P24" s="22" t="inlineStr">
        <is>
          <t>Sd PM Rodrigues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2026-08-25 08:59</t>
        </is>
      </c>
      <c r="B25" s="11" t="inlineStr">
        <is>
          <t>BM-14200</t>
        </is>
      </c>
      <c r="C25" s="11" t="inlineStr">
        <is>
          <t>JCY4B11</t>
        </is>
      </c>
      <c r="D25" s="25" t="inlineStr">
        <is>
          <t>46º BPM</t>
        </is>
      </c>
      <c r="E25" s="26" t="n">
        <v>32017</v>
      </c>
      <c r="F25" s="26" t="n">
        <v>31518</v>
      </c>
      <c r="G25" s="26" t="n">
        <v>499</v>
      </c>
      <c r="H25" s="15" t="n">
        <v>46.28</v>
      </c>
      <c r="I25" s="15" t="n">
        <v>10.78</v>
      </c>
      <c r="J25" s="16" t="n">
        <v>6.28</v>
      </c>
      <c r="K25" s="16" t="n">
        <v>290.64</v>
      </c>
      <c r="L25" s="16" t="n">
        <v>0.58</v>
      </c>
      <c r="M25" s="11" t="inlineStr">
        <is>
          <t>Gasolina Aditivada</t>
        </is>
      </c>
      <c r="N25" s="25" t="inlineStr">
        <is>
          <t>Posto Ipiranga Tiaraju (Bagé)</t>
        </is>
      </c>
      <c r="O25" s="11" t="inlineStr">
        <is>
          <t>Bagé</t>
        </is>
      </c>
      <c r="P25" s="25" t="inlineStr">
        <is>
          <t>Sd PM Silva</t>
        </is>
      </c>
      <c r="Q25" s="25" t="inlineStr"/>
    </row>
    <row r="26">
      <c r="A26" s="5" t="inlineStr">
        <is>
          <t>2026-09-01 08:53</t>
        </is>
      </c>
      <c r="B26" s="5" t="inlineStr">
        <is>
          <t>BM-14200</t>
        </is>
      </c>
      <c r="C26" s="5" t="inlineStr">
        <is>
          <t>JCY4B11</t>
        </is>
      </c>
      <c r="D26" s="22" t="inlineStr">
        <is>
          <t>46º BPM</t>
        </is>
      </c>
      <c r="E26" s="23" t="n">
        <v>32511</v>
      </c>
      <c r="F26" s="23" t="n">
        <v>32017</v>
      </c>
      <c r="G26" s="23" t="n">
        <v>494</v>
      </c>
      <c r="H26" s="9" t="n">
        <v>49.91</v>
      </c>
      <c r="I26" s="9" t="n">
        <v>9.9</v>
      </c>
      <c r="J26" s="10" t="n">
        <v>6.41</v>
      </c>
      <c r="K26" s="10" t="n">
        <v>319.92</v>
      </c>
      <c r="L26" s="10" t="n">
        <v>0.65</v>
      </c>
      <c r="M26" s="5" t="inlineStr">
        <is>
          <t>Gasolina Aditivada</t>
        </is>
      </c>
      <c r="N26" s="22" t="inlineStr">
        <is>
          <t>Auto Posto Shell Santa Tecla (Bagé)</t>
        </is>
      </c>
      <c r="O26" s="5" t="inlineStr">
        <is>
          <t>Bagé</t>
        </is>
      </c>
      <c r="P26" s="22" t="inlineStr">
        <is>
          <t>Sd PM Souza</t>
        </is>
      </c>
      <c r="Q26" s="22" t="inlineStr"/>
    </row>
    <row r="27">
      <c r="A27" s="11" t="inlineStr">
        <is>
          <t>2026-09-06 13:55</t>
        </is>
      </c>
      <c r="B27" s="11" t="inlineStr">
        <is>
          <t>BM-14200</t>
        </is>
      </c>
      <c r="C27" s="11" t="inlineStr">
        <is>
          <t>JCY4B11</t>
        </is>
      </c>
      <c r="D27" s="25" t="inlineStr">
        <is>
          <t>46º BPM</t>
        </is>
      </c>
      <c r="E27" s="26" t="n">
        <v>32890</v>
      </c>
      <c r="F27" s="26" t="n">
        <v>32511</v>
      </c>
      <c r="G27" s="26" t="n">
        <v>379</v>
      </c>
      <c r="H27" s="15" t="n">
        <v>35.12</v>
      </c>
      <c r="I27" s="15" t="n">
        <v>10.79</v>
      </c>
      <c r="J27" s="16" t="n">
        <v>6.35</v>
      </c>
      <c r="K27" s="16" t="n">
        <v>223.01</v>
      </c>
      <c r="L27" s="16" t="n">
        <v>0.59</v>
      </c>
      <c r="M27" s="11" t="inlineStr">
        <is>
          <t>Gasolina Aditivada</t>
        </is>
      </c>
      <c r="N27" s="25" t="inlineStr">
        <is>
          <t>Posto Petrobras Centro Bagé</t>
        </is>
      </c>
      <c r="O27" s="11" t="inlineStr">
        <is>
          <t>Bagé</t>
        </is>
      </c>
      <c r="P27" s="25" t="inlineStr">
        <is>
          <t>Sd PM Rodrigues</t>
        </is>
      </c>
      <c r="Q27" s="25" t="inlineStr"/>
    </row>
    <row r="28">
      <c r="A28" s="5" t="inlineStr">
        <is>
          <t>2026-09-09 12:37</t>
        </is>
      </c>
      <c r="B28" s="5" t="inlineStr">
        <is>
          <t>BM-14200</t>
        </is>
      </c>
      <c r="C28" s="5" t="inlineStr">
        <is>
          <t>JCY4B11</t>
        </is>
      </c>
      <c r="D28" s="22" t="inlineStr">
        <is>
          <t>46º BPM</t>
        </is>
      </c>
      <c r="E28" s="23" t="n">
        <v>33332</v>
      </c>
      <c r="F28" s="23" t="n">
        <v>32890</v>
      </c>
      <c r="G28" s="23" t="n">
        <v>442</v>
      </c>
      <c r="H28" s="9" t="n">
        <v>44.01</v>
      </c>
      <c r="I28" s="9" t="n">
        <v>10.04</v>
      </c>
      <c r="J28" s="10" t="n">
        <v>6.35</v>
      </c>
      <c r="K28" s="10" t="n">
        <v>279.46</v>
      </c>
      <c r="L28" s="10" t="n">
        <v>0.63</v>
      </c>
      <c r="M28" s="5" t="inlineStr">
        <is>
          <t>Gasolina Aditivada</t>
        </is>
      </c>
      <c r="N28" s="22" t="inlineStr">
        <is>
          <t>Posto Ipiranga Tiaraju (Bagé)</t>
        </is>
      </c>
      <c r="O28" s="5" t="inlineStr">
        <is>
          <t>Bagé</t>
        </is>
      </c>
      <c r="P28" s="22" t="inlineStr">
        <is>
          <t>Sd PM Rodrigues</t>
        </is>
      </c>
      <c r="Q28" s="22" t="inlineStr"/>
    </row>
    <row r="29">
      <c r="A29" s="11" t="inlineStr">
        <is>
          <t>2026-09-10 13:15</t>
        </is>
      </c>
      <c r="B29" s="11" t="inlineStr">
        <is>
          <t>BM-14200</t>
        </is>
      </c>
      <c r="C29" s="11" t="inlineStr">
        <is>
          <t>JCY4B11</t>
        </is>
      </c>
      <c r="D29" s="25" t="inlineStr">
        <is>
          <t>46º BPM</t>
        </is>
      </c>
      <c r="E29" s="26" t="n">
        <v>33706</v>
      </c>
      <c r="F29" s="26" t="n">
        <v>33332</v>
      </c>
      <c r="G29" s="26" t="n">
        <v>374</v>
      </c>
      <c r="H29" s="15" t="n">
        <v>34.54</v>
      </c>
      <c r="I29" s="15" t="n">
        <v>10.83</v>
      </c>
      <c r="J29" s="16" t="n">
        <v>6.5</v>
      </c>
      <c r="K29" s="16" t="n">
        <v>224.51</v>
      </c>
      <c r="L29" s="16" t="n">
        <v>0.6</v>
      </c>
      <c r="M29" s="11" t="inlineStr">
        <is>
          <t>Gasolina Aditivada</t>
        </is>
      </c>
      <c r="N29" s="25" t="inlineStr">
        <is>
          <t>Posto da Guarnição Militar Bagé</t>
        </is>
      </c>
      <c r="O29" s="11" t="inlineStr">
        <is>
          <t>Bagé</t>
        </is>
      </c>
      <c r="P29" s="25" t="inlineStr">
        <is>
          <t>Sd PM Souza</t>
        </is>
      </c>
      <c r="Q29" s="25" t="inlineStr"/>
    </row>
    <row r="30">
      <c r="A30" s="5" t="inlineStr">
        <is>
          <t>2026-09-12 02:18</t>
        </is>
      </c>
      <c r="B30" s="5" t="inlineStr">
        <is>
          <t>BM-14200</t>
        </is>
      </c>
      <c r="C30" s="5" t="inlineStr">
        <is>
          <t>JCY4B11</t>
        </is>
      </c>
      <c r="D30" s="22" t="inlineStr">
        <is>
          <t>46º BPM</t>
        </is>
      </c>
      <c r="E30" s="23" t="n">
        <v>34212</v>
      </c>
      <c r="F30" s="23" t="n">
        <v>33706</v>
      </c>
      <c r="G30" s="23" t="n">
        <v>506</v>
      </c>
      <c r="H30" s="9" t="n">
        <v>48.83</v>
      </c>
      <c r="I30" s="9" t="n">
        <v>10.36</v>
      </c>
      <c r="J30" s="10" t="n">
        <v>6.38</v>
      </c>
      <c r="K30" s="10" t="n">
        <v>311.54</v>
      </c>
      <c r="L30" s="10" t="n">
        <v>0.62</v>
      </c>
      <c r="M30" s="5" t="inlineStr">
        <is>
          <t>Gasolina Aditivada</t>
        </is>
      </c>
      <c r="N30" s="22" t="inlineStr">
        <is>
          <t>Posto Petrobras Centro Bagé</t>
        </is>
      </c>
      <c r="O30" s="5" t="inlineStr">
        <is>
          <t>Bagé</t>
        </is>
      </c>
      <c r="P30" s="22" t="inlineStr">
        <is>
          <t>Sd PM Rodrigues</t>
        </is>
      </c>
      <c r="Q30" s="22" t="inlineStr"/>
    </row>
    <row r="31">
      <c r="A31" s="11" t="inlineStr">
        <is>
          <t>2026-09-15 22:47</t>
        </is>
      </c>
      <c r="B31" s="11" t="inlineStr">
        <is>
          <t>BM-14200</t>
        </is>
      </c>
      <c r="C31" s="11" t="inlineStr">
        <is>
          <t>JCY4B11</t>
        </is>
      </c>
      <c r="D31" s="25" t="inlineStr">
        <is>
          <t>46º BPM</t>
        </is>
      </c>
      <c r="E31" s="26" t="n">
        <v>34597</v>
      </c>
      <c r="F31" s="26" t="n">
        <v>34212</v>
      </c>
      <c r="G31" s="26" t="n">
        <v>385</v>
      </c>
      <c r="H31" s="15" t="n">
        <v>37.1</v>
      </c>
      <c r="I31" s="15" t="n">
        <v>10.38</v>
      </c>
      <c r="J31" s="16" t="n">
        <v>6.44</v>
      </c>
      <c r="K31" s="16" t="n">
        <v>238.92</v>
      </c>
      <c r="L31" s="16" t="n">
        <v>0.62</v>
      </c>
      <c r="M31" s="11" t="inlineStr">
        <is>
          <t>Gasolina Aditivada</t>
        </is>
      </c>
      <c r="N31" s="25" t="inlineStr">
        <is>
          <t>Posto Petrobras Centro Bagé</t>
        </is>
      </c>
      <c r="O31" s="11" t="inlineStr">
        <is>
          <t>Bagé</t>
        </is>
      </c>
      <c r="P31" s="25" t="inlineStr">
        <is>
          <t>Sd PM Souza</t>
        </is>
      </c>
      <c r="Q31" s="25" t="inlineStr"/>
    </row>
    <row r="32">
      <c r="A32" s="5" t="inlineStr">
        <is>
          <t>2026-09-18 08:07</t>
        </is>
      </c>
      <c r="B32" s="5" t="inlineStr">
        <is>
          <t>BM-14200</t>
        </is>
      </c>
      <c r="C32" s="5" t="inlineStr">
        <is>
          <t>JCY4B11</t>
        </is>
      </c>
      <c r="D32" s="22" t="inlineStr">
        <is>
          <t>46º BPM</t>
        </is>
      </c>
      <c r="E32" s="23" t="n">
        <v>34995</v>
      </c>
      <c r="F32" s="23" t="n">
        <v>34597</v>
      </c>
      <c r="G32" s="23" t="n">
        <v>398</v>
      </c>
      <c r="H32" s="9" t="n">
        <v>40.18</v>
      </c>
      <c r="I32" s="9" t="n">
        <v>9.91</v>
      </c>
      <c r="J32" s="10" t="n">
        <v>6.52</v>
      </c>
      <c r="K32" s="10" t="n">
        <v>261.97</v>
      </c>
      <c r="L32" s="10" t="n">
        <v>0.66</v>
      </c>
      <c r="M32" s="5" t="inlineStr">
        <is>
          <t>Gasolina Aditivada</t>
        </is>
      </c>
      <c r="N32" s="22" t="inlineStr">
        <is>
          <t>Posto Petrobras Centro Bagé</t>
        </is>
      </c>
      <c r="O32" s="5" t="inlineStr">
        <is>
          <t>Bagé</t>
        </is>
      </c>
      <c r="P32" s="22" t="inlineStr">
        <is>
          <t>Sd PM Pereira</t>
        </is>
      </c>
      <c r="Q32" s="22" t="inlineStr"/>
    </row>
    <row r="33">
      <c r="A33" s="11" t="inlineStr">
        <is>
          <t>2026-09-20 01:05</t>
        </is>
      </c>
      <c r="B33" s="11" t="inlineStr">
        <is>
          <t>BM-14200</t>
        </is>
      </c>
      <c r="C33" s="11" t="inlineStr">
        <is>
          <t>JCY4B11</t>
        </is>
      </c>
      <c r="D33" s="25" t="inlineStr">
        <is>
          <t>46º BPM</t>
        </is>
      </c>
      <c r="E33" s="26" t="n">
        <v>35434</v>
      </c>
      <c r="F33" s="26" t="n">
        <v>34995</v>
      </c>
      <c r="G33" s="26" t="n">
        <v>439</v>
      </c>
      <c r="H33" s="15" t="n">
        <v>42.78</v>
      </c>
      <c r="I33" s="15" t="n">
        <v>10.26</v>
      </c>
      <c r="J33" s="16" t="n">
        <v>6.5</v>
      </c>
      <c r="K33" s="16" t="n">
        <v>278.07</v>
      </c>
      <c r="L33" s="16" t="n">
        <v>0.63</v>
      </c>
      <c r="M33" s="11" t="inlineStr">
        <is>
          <t>Gasolina Aditivada</t>
        </is>
      </c>
      <c r="N33" s="25" t="inlineStr">
        <is>
          <t>Posto Petrobras Centro Bagé</t>
        </is>
      </c>
      <c r="O33" s="11" t="inlineStr">
        <is>
          <t>Bagé</t>
        </is>
      </c>
      <c r="P33" s="25" t="inlineStr">
        <is>
          <t>Sd PM Oliveira</t>
        </is>
      </c>
      <c r="Q33" s="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12" customWidth="1" min="9" max="9"/>
    <col width="36" customWidth="1" min="10" max="10"/>
  </cols>
  <sheetData>
    <row r="1" ht="25" customHeight="1">
      <c r="A1" s="27" t="inlineStr">
        <is>
          <t>Data / Hora</t>
        </is>
      </c>
      <c r="B1" s="27" t="inlineStr">
        <is>
          <t>Prefixo</t>
        </is>
      </c>
      <c r="C1" s="27" t="inlineStr">
        <is>
          <t>Placa</t>
        </is>
      </c>
      <c r="D1" s="27" t="inlineStr">
        <is>
          <t>Odômetro</t>
        </is>
      </c>
      <c r="E1" s="27" t="inlineStr">
        <is>
          <t>Km Anterior</t>
        </is>
      </c>
      <c r="F1" s="27" t="inlineStr">
        <is>
          <t>Km Rodado</t>
        </is>
      </c>
      <c r="G1" s="27" t="inlineStr">
        <is>
          <t>Litros</t>
        </is>
      </c>
      <c r="H1" s="27" t="inlineStr">
        <is>
          <t>Consumo (km/l)</t>
        </is>
      </c>
      <c r="I1" s="27" t="inlineStr">
        <is>
          <t>Posto</t>
        </is>
      </c>
      <c r="J1" s="27" t="inlineStr">
        <is>
          <t>Motivo do Alerta / Inconsistência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2026-09-23T19:01:58Z</dcterms:created>
  <dcterms:modified xsi:type="dcterms:W3CDTF">2026-09-23T19:01:58Z</dcterms:modified>
</cp:coreProperties>
</file>